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B3F095E-F537-40FF-A367-B18C34E7350E}" xr6:coauthVersionLast="47" xr6:coauthVersionMax="47" xr10:uidLastSave="{00000000-0000-0000-0000-000000000000}"/>
  <bookViews>
    <workbookView xWindow="-120" yWindow="-120" windowWidth="20730" windowHeight="11040" activeTab="1" xr2:uid="{2F022C66-C08F-493E-AAAB-D0AF575CB89E}"/>
  </bookViews>
  <sheets>
    <sheet name="HR Raw Dataset.xlsx" sheetId="1" r:id="rId1"/>
    <sheet name="Cleaned" sheetId="2" r:id="rId2"/>
  </sheets>
  <definedNames>
    <definedName name="_xlnm._FilterDatabase" localSheetId="1" hidden="1">Cleaned!$A$1:$J$313</definedName>
    <definedName name="_xlnm._FilterDatabase" localSheetId="0" hidden="1">'HR Raw Dataset.xlsx'!$M$1:$V$312</definedName>
  </definedNames>
  <calcPr calcId="191029"/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2" i="1"/>
  <c r="P18" i="1"/>
  <c r="P9" i="1"/>
  <c r="M3" i="1"/>
  <c r="N3" i="1" s="1"/>
  <c r="O3" i="1" s="1"/>
  <c r="V3" i="1" s="1"/>
  <c r="M4" i="1"/>
  <c r="N4" i="1" s="1"/>
  <c r="O4" i="1" s="1"/>
  <c r="V4" i="1" s="1"/>
  <c r="M5" i="1"/>
  <c r="N5" i="1" s="1"/>
  <c r="O5" i="1" s="1"/>
  <c r="V5" i="1" s="1"/>
  <c r="M6" i="1"/>
  <c r="N6" i="1" s="1"/>
  <c r="O6" i="1" s="1"/>
  <c r="V6" i="1" s="1"/>
  <c r="M7" i="1"/>
  <c r="N7" i="1" s="1"/>
  <c r="O7" i="1" s="1"/>
  <c r="V7" i="1" s="1"/>
  <c r="M8" i="1"/>
  <c r="N8" i="1" s="1"/>
  <c r="O8" i="1" s="1"/>
  <c r="V8" i="1" s="1"/>
  <c r="M9" i="1"/>
  <c r="N9" i="1" s="1"/>
  <c r="O9" i="1" s="1"/>
  <c r="V9" i="1" s="1"/>
  <c r="M10" i="1"/>
  <c r="N10" i="1" s="1"/>
  <c r="O10" i="1" s="1"/>
  <c r="V10" i="1" s="1"/>
  <c r="M11" i="1"/>
  <c r="N11" i="1" s="1"/>
  <c r="O11" i="1" s="1"/>
  <c r="V11" i="1" s="1"/>
  <c r="M12" i="1"/>
  <c r="N12" i="1" s="1"/>
  <c r="O12" i="1" s="1"/>
  <c r="V12" i="1" s="1"/>
  <c r="M13" i="1"/>
  <c r="N13" i="1" s="1"/>
  <c r="O13" i="1" s="1"/>
  <c r="V13" i="1" s="1"/>
  <c r="M14" i="1"/>
  <c r="N14" i="1" s="1"/>
  <c r="O14" i="1" s="1"/>
  <c r="V14" i="1" s="1"/>
  <c r="M15" i="1"/>
  <c r="N15" i="1" s="1"/>
  <c r="O15" i="1" s="1"/>
  <c r="V15" i="1" s="1"/>
  <c r="M16" i="1"/>
  <c r="N16" i="1" s="1"/>
  <c r="O16" i="1" s="1"/>
  <c r="V16" i="1" s="1"/>
  <c r="M17" i="1"/>
  <c r="N17" i="1" s="1"/>
  <c r="O17" i="1" s="1"/>
  <c r="V17" i="1" s="1"/>
  <c r="M18" i="1"/>
  <c r="N18" i="1" s="1"/>
  <c r="O18" i="1" s="1"/>
  <c r="V18" i="1" s="1"/>
  <c r="M19" i="1"/>
  <c r="N19" i="1" s="1"/>
  <c r="O19" i="1" s="1"/>
  <c r="V19" i="1" s="1"/>
  <c r="M20" i="1"/>
  <c r="N20" i="1" s="1"/>
  <c r="O20" i="1" s="1"/>
  <c r="V20" i="1" s="1"/>
  <c r="M21" i="1"/>
  <c r="N21" i="1" s="1"/>
  <c r="O21" i="1" s="1"/>
  <c r="V21" i="1" s="1"/>
  <c r="M22" i="1"/>
  <c r="N22" i="1" s="1"/>
  <c r="O22" i="1" s="1"/>
  <c r="V22" i="1" s="1"/>
  <c r="M23" i="1"/>
  <c r="N23" i="1" s="1"/>
  <c r="O23" i="1" s="1"/>
  <c r="V23" i="1" s="1"/>
  <c r="M24" i="1"/>
  <c r="N24" i="1" s="1"/>
  <c r="O24" i="1" s="1"/>
  <c r="V24" i="1" s="1"/>
  <c r="M25" i="1"/>
  <c r="N25" i="1" s="1"/>
  <c r="O25" i="1" s="1"/>
  <c r="V25" i="1" s="1"/>
  <c r="M26" i="1"/>
  <c r="N26" i="1" s="1"/>
  <c r="O26" i="1" s="1"/>
  <c r="V26" i="1" s="1"/>
  <c r="M27" i="1"/>
  <c r="N27" i="1" s="1"/>
  <c r="O27" i="1" s="1"/>
  <c r="V27" i="1" s="1"/>
  <c r="M28" i="1"/>
  <c r="N28" i="1" s="1"/>
  <c r="O28" i="1" s="1"/>
  <c r="V28" i="1" s="1"/>
  <c r="M29" i="1"/>
  <c r="N29" i="1" s="1"/>
  <c r="O29" i="1" s="1"/>
  <c r="V29" i="1" s="1"/>
  <c r="M30" i="1"/>
  <c r="N30" i="1" s="1"/>
  <c r="O30" i="1" s="1"/>
  <c r="V30" i="1" s="1"/>
  <c r="M31" i="1"/>
  <c r="N31" i="1" s="1"/>
  <c r="O31" i="1" s="1"/>
  <c r="V31" i="1" s="1"/>
  <c r="M32" i="1"/>
  <c r="N32" i="1" s="1"/>
  <c r="O32" i="1" s="1"/>
  <c r="V32" i="1" s="1"/>
  <c r="M33" i="1"/>
  <c r="N33" i="1" s="1"/>
  <c r="O33" i="1" s="1"/>
  <c r="V33" i="1" s="1"/>
  <c r="M34" i="1"/>
  <c r="N34" i="1" s="1"/>
  <c r="O34" i="1" s="1"/>
  <c r="V34" i="1" s="1"/>
  <c r="M35" i="1"/>
  <c r="N35" i="1" s="1"/>
  <c r="O35" i="1" s="1"/>
  <c r="V35" i="1" s="1"/>
  <c r="M36" i="1"/>
  <c r="N36" i="1" s="1"/>
  <c r="O36" i="1" s="1"/>
  <c r="V36" i="1" s="1"/>
  <c r="M37" i="1"/>
  <c r="N37" i="1" s="1"/>
  <c r="O37" i="1" s="1"/>
  <c r="V37" i="1" s="1"/>
  <c r="M38" i="1"/>
  <c r="N38" i="1" s="1"/>
  <c r="O38" i="1" s="1"/>
  <c r="V38" i="1" s="1"/>
  <c r="M39" i="1"/>
  <c r="N39" i="1" s="1"/>
  <c r="O39" i="1" s="1"/>
  <c r="V39" i="1" s="1"/>
  <c r="M40" i="1"/>
  <c r="N40" i="1" s="1"/>
  <c r="O40" i="1" s="1"/>
  <c r="V40" i="1" s="1"/>
  <c r="M41" i="1"/>
  <c r="N41" i="1" s="1"/>
  <c r="O41" i="1" s="1"/>
  <c r="V41" i="1" s="1"/>
  <c r="M42" i="1"/>
  <c r="N42" i="1" s="1"/>
  <c r="O42" i="1" s="1"/>
  <c r="V42" i="1" s="1"/>
  <c r="M43" i="1"/>
  <c r="N43" i="1" s="1"/>
  <c r="O43" i="1" s="1"/>
  <c r="V43" i="1" s="1"/>
  <c r="M44" i="1"/>
  <c r="N44" i="1" s="1"/>
  <c r="O44" i="1" s="1"/>
  <c r="V44" i="1" s="1"/>
  <c r="M45" i="1"/>
  <c r="N45" i="1" s="1"/>
  <c r="O45" i="1" s="1"/>
  <c r="V45" i="1" s="1"/>
  <c r="M46" i="1"/>
  <c r="N46" i="1" s="1"/>
  <c r="O46" i="1" s="1"/>
  <c r="V46" i="1" s="1"/>
  <c r="M47" i="1"/>
  <c r="N47" i="1" s="1"/>
  <c r="O47" i="1" s="1"/>
  <c r="V47" i="1" s="1"/>
  <c r="M48" i="1"/>
  <c r="N48" i="1" s="1"/>
  <c r="O48" i="1" s="1"/>
  <c r="V48" i="1" s="1"/>
  <c r="M49" i="1"/>
  <c r="N49" i="1" s="1"/>
  <c r="O49" i="1" s="1"/>
  <c r="V49" i="1" s="1"/>
  <c r="M50" i="1"/>
  <c r="N50" i="1" s="1"/>
  <c r="O50" i="1" s="1"/>
  <c r="V50" i="1" s="1"/>
  <c r="M51" i="1"/>
  <c r="N51" i="1" s="1"/>
  <c r="O51" i="1" s="1"/>
  <c r="V51" i="1" s="1"/>
  <c r="M52" i="1"/>
  <c r="N52" i="1" s="1"/>
  <c r="O52" i="1" s="1"/>
  <c r="V52" i="1" s="1"/>
  <c r="M53" i="1"/>
  <c r="N53" i="1" s="1"/>
  <c r="O53" i="1" s="1"/>
  <c r="V53" i="1" s="1"/>
  <c r="M54" i="1"/>
  <c r="N54" i="1" s="1"/>
  <c r="O54" i="1" s="1"/>
  <c r="V54" i="1" s="1"/>
  <c r="M55" i="1"/>
  <c r="N55" i="1" s="1"/>
  <c r="O55" i="1" s="1"/>
  <c r="V55" i="1" s="1"/>
  <c r="M56" i="1"/>
  <c r="N56" i="1" s="1"/>
  <c r="O56" i="1" s="1"/>
  <c r="V56" i="1" s="1"/>
  <c r="M57" i="1"/>
  <c r="N57" i="1" s="1"/>
  <c r="O57" i="1" s="1"/>
  <c r="V57" i="1" s="1"/>
  <c r="M58" i="1"/>
  <c r="N58" i="1" s="1"/>
  <c r="O58" i="1" s="1"/>
  <c r="V58" i="1" s="1"/>
  <c r="M59" i="1"/>
  <c r="N59" i="1" s="1"/>
  <c r="O59" i="1" s="1"/>
  <c r="V59" i="1" s="1"/>
  <c r="M60" i="1"/>
  <c r="N60" i="1" s="1"/>
  <c r="O60" i="1" s="1"/>
  <c r="V60" i="1" s="1"/>
  <c r="M61" i="1"/>
  <c r="N61" i="1" s="1"/>
  <c r="O61" i="1" s="1"/>
  <c r="V61" i="1" s="1"/>
  <c r="M62" i="1"/>
  <c r="N62" i="1" s="1"/>
  <c r="O62" i="1" s="1"/>
  <c r="V62" i="1" s="1"/>
  <c r="M63" i="1"/>
  <c r="N63" i="1" s="1"/>
  <c r="O63" i="1" s="1"/>
  <c r="V63" i="1" s="1"/>
  <c r="M64" i="1"/>
  <c r="N64" i="1" s="1"/>
  <c r="O64" i="1" s="1"/>
  <c r="V64" i="1" s="1"/>
  <c r="M65" i="1"/>
  <c r="N65" i="1" s="1"/>
  <c r="O65" i="1" s="1"/>
  <c r="V65" i="1" s="1"/>
  <c r="M66" i="1"/>
  <c r="N66" i="1" s="1"/>
  <c r="O66" i="1" s="1"/>
  <c r="V66" i="1" s="1"/>
  <c r="M67" i="1"/>
  <c r="N67" i="1" s="1"/>
  <c r="O67" i="1" s="1"/>
  <c r="V67" i="1" s="1"/>
  <c r="M68" i="1"/>
  <c r="N68" i="1" s="1"/>
  <c r="O68" i="1" s="1"/>
  <c r="V68" i="1" s="1"/>
  <c r="M69" i="1"/>
  <c r="N69" i="1" s="1"/>
  <c r="O69" i="1" s="1"/>
  <c r="V69" i="1" s="1"/>
  <c r="M70" i="1"/>
  <c r="N70" i="1" s="1"/>
  <c r="O70" i="1" s="1"/>
  <c r="V70" i="1" s="1"/>
  <c r="M71" i="1"/>
  <c r="N71" i="1" s="1"/>
  <c r="O71" i="1" s="1"/>
  <c r="V71" i="1" s="1"/>
  <c r="M72" i="1"/>
  <c r="N72" i="1" s="1"/>
  <c r="O72" i="1" s="1"/>
  <c r="V72" i="1" s="1"/>
  <c r="M73" i="1"/>
  <c r="N73" i="1" s="1"/>
  <c r="O73" i="1" s="1"/>
  <c r="V73" i="1" s="1"/>
  <c r="M74" i="1"/>
  <c r="N74" i="1" s="1"/>
  <c r="O74" i="1" s="1"/>
  <c r="V74" i="1" s="1"/>
  <c r="M75" i="1"/>
  <c r="N75" i="1" s="1"/>
  <c r="O75" i="1" s="1"/>
  <c r="V75" i="1" s="1"/>
  <c r="M76" i="1"/>
  <c r="N76" i="1" s="1"/>
  <c r="O76" i="1" s="1"/>
  <c r="V76" i="1" s="1"/>
  <c r="M77" i="1"/>
  <c r="N77" i="1" s="1"/>
  <c r="O77" i="1" s="1"/>
  <c r="V77" i="1" s="1"/>
  <c r="M78" i="1"/>
  <c r="N78" i="1" s="1"/>
  <c r="O78" i="1" s="1"/>
  <c r="V78" i="1" s="1"/>
  <c r="M79" i="1"/>
  <c r="N79" i="1" s="1"/>
  <c r="O79" i="1" s="1"/>
  <c r="V79" i="1" s="1"/>
  <c r="M80" i="1"/>
  <c r="N80" i="1" s="1"/>
  <c r="O80" i="1" s="1"/>
  <c r="V80" i="1" s="1"/>
  <c r="M81" i="1"/>
  <c r="N81" i="1" s="1"/>
  <c r="O81" i="1" s="1"/>
  <c r="V81" i="1" s="1"/>
  <c r="M82" i="1"/>
  <c r="N82" i="1" s="1"/>
  <c r="O82" i="1" s="1"/>
  <c r="V82" i="1" s="1"/>
  <c r="M83" i="1"/>
  <c r="N83" i="1" s="1"/>
  <c r="O83" i="1" s="1"/>
  <c r="V83" i="1" s="1"/>
  <c r="M84" i="1"/>
  <c r="N84" i="1" s="1"/>
  <c r="O84" i="1" s="1"/>
  <c r="V84" i="1" s="1"/>
  <c r="M85" i="1"/>
  <c r="N85" i="1" s="1"/>
  <c r="O85" i="1" s="1"/>
  <c r="V85" i="1" s="1"/>
  <c r="M86" i="1"/>
  <c r="N86" i="1" s="1"/>
  <c r="O86" i="1" s="1"/>
  <c r="V86" i="1" s="1"/>
  <c r="M87" i="1"/>
  <c r="N87" i="1" s="1"/>
  <c r="O87" i="1" s="1"/>
  <c r="V87" i="1" s="1"/>
  <c r="M88" i="1"/>
  <c r="N88" i="1" s="1"/>
  <c r="O88" i="1" s="1"/>
  <c r="V88" i="1" s="1"/>
  <c r="M89" i="1"/>
  <c r="N89" i="1" s="1"/>
  <c r="O89" i="1" s="1"/>
  <c r="V89" i="1" s="1"/>
  <c r="M90" i="1"/>
  <c r="N90" i="1" s="1"/>
  <c r="O90" i="1" s="1"/>
  <c r="V90" i="1" s="1"/>
  <c r="M91" i="1"/>
  <c r="N91" i="1" s="1"/>
  <c r="O91" i="1" s="1"/>
  <c r="V91" i="1" s="1"/>
  <c r="M92" i="1"/>
  <c r="N92" i="1" s="1"/>
  <c r="O92" i="1" s="1"/>
  <c r="V92" i="1" s="1"/>
  <c r="M93" i="1"/>
  <c r="N93" i="1" s="1"/>
  <c r="O93" i="1" s="1"/>
  <c r="V93" i="1" s="1"/>
  <c r="M94" i="1"/>
  <c r="N94" i="1" s="1"/>
  <c r="O94" i="1" s="1"/>
  <c r="V94" i="1" s="1"/>
  <c r="M95" i="1"/>
  <c r="N95" i="1" s="1"/>
  <c r="O95" i="1" s="1"/>
  <c r="V95" i="1" s="1"/>
  <c r="M96" i="1"/>
  <c r="N96" i="1" s="1"/>
  <c r="O96" i="1" s="1"/>
  <c r="V96" i="1" s="1"/>
  <c r="M97" i="1"/>
  <c r="N97" i="1" s="1"/>
  <c r="O97" i="1" s="1"/>
  <c r="V97" i="1" s="1"/>
  <c r="M98" i="1"/>
  <c r="N98" i="1" s="1"/>
  <c r="O98" i="1" s="1"/>
  <c r="V98" i="1" s="1"/>
  <c r="M99" i="1"/>
  <c r="N99" i="1" s="1"/>
  <c r="O99" i="1" s="1"/>
  <c r="V99" i="1" s="1"/>
  <c r="M100" i="1"/>
  <c r="N100" i="1" s="1"/>
  <c r="O100" i="1" s="1"/>
  <c r="V100" i="1" s="1"/>
  <c r="M101" i="1"/>
  <c r="N101" i="1" s="1"/>
  <c r="O101" i="1" s="1"/>
  <c r="V101" i="1" s="1"/>
  <c r="M102" i="1"/>
  <c r="N102" i="1" s="1"/>
  <c r="O102" i="1" s="1"/>
  <c r="V102" i="1" s="1"/>
  <c r="M103" i="1"/>
  <c r="N103" i="1" s="1"/>
  <c r="O103" i="1" s="1"/>
  <c r="V103" i="1" s="1"/>
  <c r="M104" i="1"/>
  <c r="N104" i="1" s="1"/>
  <c r="O104" i="1" s="1"/>
  <c r="V104" i="1" s="1"/>
  <c r="M105" i="1"/>
  <c r="N105" i="1" s="1"/>
  <c r="O105" i="1" s="1"/>
  <c r="V105" i="1" s="1"/>
  <c r="M106" i="1"/>
  <c r="N106" i="1" s="1"/>
  <c r="O106" i="1" s="1"/>
  <c r="V106" i="1" s="1"/>
  <c r="M107" i="1"/>
  <c r="N107" i="1" s="1"/>
  <c r="O107" i="1" s="1"/>
  <c r="V107" i="1" s="1"/>
  <c r="M108" i="1"/>
  <c r="N108" i="1" s="1"/>
  <c r="O108" i="1" s="1"/>
  <c r="V108" i="1" s="1"/>
  <c r="M109" i="1"/>
  <c r="N109" i="1" s="1"/>
  <c r="O109" i="1" s="1"/>
  <c r="V109" i="1" s="1"/>
  <c r="M110" i="1"/>
  <c r="N110" i="1" s="1"/>
  <c r="O110" i="1" s="1"/>
  <c r="V110" i="1" s="1"/>
  <c r="M111" i="1"/>
  <c r="N111" i="1" s="1"/>
  <c r="O111" i="1" s="1"/>
  <c r="V111" i="1" s="1"/>
  <c r="M112" i="1"/>
  <c r="N112" i="1" s="1"/>
  <c r="O112" i="1" s="1"/>
  <c r="V112" i="1" s="1"/>
  <c r="M113" i="1"/>
  <c r="N113" i="1" s="1"/>
  <c r="O113" i="1" s="1"/>
  <c r="V113" i="1" s="1"/>
  <c r="M114" i="1"/>
  <c r="N114" i="1" s="1"/>
  <c r="O114" i="1" s="1"/>
  <c r="V114" i="1" s="1"/>
  <c r="M115" i="1"/>
  <c r="N115" i="1" s="1"/>
  <c r="O115" i="1" s="1"/>
  <c r="V115" i="1" s="1"/>
  <c r="M116" i="1"/>
  <c r="N116" i="1" s="1"/>
  <c r="O116" i="1" s="1"/>
  <c r="V116" i="1" s="1"/>
  <c r="M117" i="1"/>
  <c r="N117" i="1" s="1"/>
  <c r="O117" i="1" s="1"/>
  <c r="V117" i="1" s="1"/>
  <c r="M118" i="1"/>
  <c r="N118" i="1" s="1"/>
  <c r="O118" i="1" s="1"/>
  <c r="V118" i="1" s="1"/>
  <c r="M119" i="1"/>
  <c r="N119" i="1" s="1"/>
  <c r="O119" i="1" s="1"/>
  <c r="V119" i="1" s="1"/>
  <c r="M120" i="1"/>
  <c r="N120" i="1" s="1"/>
  <c r="O120" i="1" s="1"/>
  <c r="V120" i="1" s="1"/>
  <c r="M121" i="1"/>
  <c r="N121" i="1" s="1"/>
  <c r="O121" i="1" s="1"/>
  <c r="V121" i="1" s="1"/>
  <c r="M122" i="1"/>
  <c r="N122" i="1" s="1"/>
  <c r="O122" i="1" s="1"/>
  <c r="V122" i="1" s="1"/>
  <c r="M123" i="1"/>
  <c r="N123" i="1" s="1"/>
  <c r="O123" i="1" s="1"/>
  <c r="V123" i="1" s="1"/>
  <c r="M124" i="1"/>
  <c r="N124" i="1" s="1"/>
  <c r="O124" i="1" s="1"/>
  <c r="V124" i="1" s="1"/>
  <c r="M125" i="1"/>
  <c r="N125" i="1" s="1"/>
  <c r="O125" i="1" s="1"/>
  <c r="V125" i="1" s="1"/>
  <c r="M126" i="1"/>
  <c r="N126" i="1" s="1"/>
  <c r="O126" i="1" s="1"/>
  <c r="V126" i="1" s="1"/>
  <c r="M127" i="1"/>
  <c r="N127" i="1" s="1"/>
  <c r="O127" i="1" s="1"/>
  <c r="V127" i="1" s="1"/>
  <c r="M128" i="1"/>
  <c r="N128" i="1" s="1"/>
  <c r="O128" i="1" s="1"/>
  <c r="V128" i="1" s="1"/>
  <c r="M129" i="1"/>
  <c r="N129" i="1" s="1"/>
  <c r="O129" i="1" s="1"/>
  <c r="V129" i="1" s="1"/>
  <c r="M130" i="1"/>
  <c r="N130" i="1" s="1"/>
  <c r="O130" i="1" s="1"/>
  <c r="V130" i="1" s="1"/>
  <c r="M131" i="1"/>
  <c r="N131" i="1" s="1"/>
  <c r="O131" i="1" s="1"/>
  <c r="V131" i="1" s="1"/>
  <c r="M132" i="1"/>
  <c r="N132" i="1" s="1"/>
  <c r="O132" i="1" s="1"/>
  <c r="V132" i="1" s="1"/>
  <c r="M133" i="1"/>
  <c r="N133" i="1" s="1"/>
  <c r="O133" i="1" s="1"/>
  <c r="V133" i="1" s="1"/>
  <c r="M134" i="1"/>
  <c r="N134" i="1" s="1"/>
  <c r="O134" i="1" s="1"/>
  <c r="V134" i="1" s="1"/>
  <c r="M135" i="1"/>
  <c r="N135" i="1" s="1"/>
  <c r="O135" i="1" s="1"/>
  <c r="V135" i="1" s="1"/>
  <c r="M136" i="1"/>
  <c r="N136" i="1" s="1"/>
  <c r="O136" i="1" s="1"/>
  <c r="V136" i="1" s="1"/>
  <c r="M137" i="1"/>
  <c r="N137" i="1" s="1"/>
  <c r="O137" i="1" s="1"/>
  <c r="V137" i="1" s="1"/>
  <c r="M138" i="1"/>
  <c r="N138" i="1" s="1"/>
  <c r="O138" i="1" s="1"/>
  <c r="V138" i="1" s="1"/>
  <c r="M139" i="1"/>
  <c r="N139" i="1" s="1"/>
  <c r="O139" i="1" s="1"/>
  <c r="V139" i="1" s="1"/>
  <c r="M140" i="1"/>
  <c r="N140" i="1" s="1"/>
  <c r="O140" i="1" s="1"/>
  <c r="V140" i="1" s="1"/>
  <c r="M141" i="1"/>
  <c r="N141" i="1" s="1"/>
  <c r="O141" i="1" s="1"/>
  <c r="V141" i="1" s="1"/>
  <c r="M142" i="1"/>
  <c r="N142" i="1" s="1"/>
  <c r="O142" i="1" s="1"/>
  <c r="V142" i="1" s="1"/>
  <c r="M143" i="1"/>
  <c r="N143" i="1" s="1"/>
  <c r="O143" i="1" s="1"/>
  <c r="V143" i="1" s="1"/>
  <c r="M144" i="1"/>
  <c r="N144" i="1" s="1"/>
  <c r="O144" i="1" s="1"/>
  <c r="V144" i="1" s="1"/>
  <c r="M145" i="1"/>
  <c r="N145" i="1" s="1"/>
  <c r="O145" i="1" s="1"/>
  <c r="V145" i="1" s="1"/>
  <c r="M146" i="1"/>
  <c r="N146" i="1" s="1"/>
  <c r="O146" i="1" s="1"/>
  <c r="V146" i="1" s="1"/>
  <c r="M147" i="1"/>
  <c r="N147" i="1" s="1"/>
  <c r="O147" i="1" s="1"/>
  <c r="V147" i="1" s="1"/>
  <c r="M148" i="1"/>
  <c r="N148" i="1" s="1"/>
  <c r="O148" i="1" s="1"/>
  <c r="V148" i="1" s="1"/>
  <c r="M149" i="1"/>
  <c r="N149" i="1" s="1"/>
  <c r="O149" i="1" s="1"/>
  <c r="V149" i="1" s="1"/>
  <c r="M150" i="1"/>
  <c r="N150" i="1" s="1"/>
  <c r="O150" i="1" s="1"/>
  <c r="V150" i="1" s="1"/>
  <c r="M151" i="1"/>
  <c r="N151" i="1" s="1"/>
  <c r="O151" i="1" s="1"/>
  <c r="V151" i="1" s="1"/>
  <c r="M152" i="1"/>
  <c r="N152" i="1" s="1"/>
  <c r="O152" i="1" s="1"/>
  <c r="V152" i="1" s="1"/>
  <c r="M153" i="1"/>
  <c r="N153" i="1" s="1"/>
  <c r="O153" i="1" s="1"/>
  <c r="V153" i="1" s="1"/>
  <c r="M154" i="1"/>
  <c r="N154" i="1" s="1"/>
  <c r="O154" i="1" s="1"/>
  <c r="V154" i="1" s="1"/>
  <c r="M155" i="1"/>
  <c r="N155" i="1" s="1"/>
  <c r="O155" i="1" s="1"/>
  <c r="V155" i="1" s="1"/>
  <c r="M156" i="1"/>
  <c r="N156" i="1" s="1"/>
  <c r="O156" i="1" s="1"/>
  <c r="V156" i="1" s="1"/>
  <c r="M157" i="1"/>
  <c r="N157" i="1" s="1"/>
  <c r="O157" i="1" s="1"/>
  <c r="V157" i="1" s="1"/>
  <c r="M158" i="1"/>
  <c r="N158" i="1" s="1"/>
  <c r="O158" i="1" s="1"/>
  <c r="V158" i="1" s="1"/>
  <c r="M159" i="1"/>
  <c r="N159" i="1" s="1"/>
  <c r="O159" i="1" s="1"/>
  <c r="V159" i="1" s="1"/>
  <c r="M160" i="1"/>
  <c r="N160" i="1" s="1"/>
  <c r="O160" i="1" s="1"/>
  <c r="V160" i="1" s="1"/>
  <c r="M161" i="1"/>
  <c r="N161" i="1" s="1"/>
  <c r="O161" i="1" s="1"/>
  <c r="V161" i="1" s="1"/>
  <c r="M162" i="1"/>
  <c r="N162" i="1" s="1"/>
  <c r="O162" i="1" s="1"/>
  <c r="V162" i="1" s="1"/>
  <c r="M163" i="1"/>
  <c r="N163" i="1" s="1"/>
  <c r="O163" i="1" s="1"/>
  <c r="V163" i="1" s="1"/>
  <c r="M164" i="1"/>
  <c r="N164" i="1" s="1"/>
  <c r="O164" i="1" s="1"/>
  <c r="V164" i="1" s="1"/>
  <c r="M165" i="1"/>
  <c r="N165" i="1" s="1"/>
  <c r="O165" i="1" s="1"/>
  <c r="V165" i="1" s="1"/>
  <c r="M166" i="1"/>
  <c r="N166" i="1" s="1"/>
  <c r="O166" i="1" s="1"/>
  <c r="V166" i="1" s="1"/>
  <c r="M167" i="1"/>
  <c r="N167" i="1" s="1"/>
  <c r="O167" i="1" s="1"/>
  <c r="V167" i="1" s="1"/>
  <c r="M168" i="1"/>
  <c r="N168" i="1" s="1"/>
  <c r="O168" i="1" s="1"/>
  <c r="V168" i="1" s="1"/>
  <c r="M169" i="1"/>
  <c r="N169" i="1" s="1"/>
  <c r="O169" i="1" s="1"/>
  <c r="V169" i="1" s="1"/>
  <c r="M170" i="1"/>
  <c r="N170" i="1" s="1"/>
  <c r="O170" i="1" s="1"/>
  <c r="V170" i="1" s="1"/>
  <c r="M171" i="1"/>
  <c r="N171" i="1" s="1"/>
  <c r="O171" i="1" s="1"/>
  <c r="V171" i="1" s="1"/>
  <c r="M172" i="1"/>
  <c r="N172" i="1" s="1"/>
  <c r="O172" i="1" s="1"/>
  <c r="V172" i="1" s="1"/>
  <c r="M173" i="1"/>
  <c r="N173" i="1" s="1"/>
  <c r="O173" i="1" s="1"/>
  <c r="V173" i="1" s="1"/>
  <c r="M174" i="1"/>
  <c r="N174" i="1" s="1"/>
  <c r="O174" i="1" s="1"/>
  <c r="V174" i="1" s="1"/>
  <c r="M175" i="1"/>
  <c r="N175" i="1" s="1"/>
  <c r="O175" i="1" s="1"/>
  <c r="V175" i="1" s="1"/>
  <c r="M176" i="1"/>
  <c r="N176" i="1" s="1"/>
  <c r="O176" i="1" s="1"/>
  <c r="V176" i="1" s="1"/>
  <c r="M177" i="1"/>
  <c r="N177" i="1" s="1"/>
  <c r="O177" i="1" s="1"/>
  <c r="V177" i="1" s="1"/>
  <c r="M178" i="1"/>
  <c r="N178" i="1" s="1"/>
  <c r="O178" i="1" s="1"/>
  <c r="V178" i="1" s="1"/>
  <c r="M179" i="1"/>
  <c r="N179" i="1" s="1"/>
  <c r="O179" i="1" s="1"/>
  <c r="V179" i="1" s="1"/>
  <c r="M180" i="1"/>
  <c r="N180" i="1" s="1"/>
  <c r="O180" i="1" s="1"/>
  <c r="V180" i="1" s="1"/>
  <c r="M181" i="1"/>
  <c r="N181" i="1" s="1"/>
  <c r="O181" i="1" s="1"/>
  <c r="V181" i="1" s="1"/>
  <c r="M182" i="1"/>
  <c r="N182" i="1" s="1"/>
  <c r="O182" i="1" s="1"/>
  <c r="V182" i="1" s="1"/>
  <c r="M183" i="1"/>
  <c r="N183" i="1" s="1"/>
  <c r="O183" i="1" s="1"/>
  <c r="V183" i="1" s="1"/>
  <c r="M184" i="1"/>
  <c r="N184" i="1" s="1"/>
  <c r="O184" i="1" s="1"/>
  <c r="V184" i="1" s="1"/>
  <c r="M185" i="1"/>
  <c r="N185" i="1" s="1"/>
  <c r="O185" i="1" s="1"/>
  <c r="V185" i="1" s="1"/>
  <c r="M186" i="1"/>
  <c r="N186" i="1" s="1"/>
  <c r="O186" i="1" s="1"/>
  <c r="V186" i="1" s="1"/>
  <c r="M187" i="1"/>
  <c r="N187" i="1" s="1"/>
  <c r="O187" i="1" s="1"/>
  <c r="V187" i="1" s="1"/>
  <c r="M188" i="1"/>
  <c r="N188" i="1" s="1"/>
  <c r="O188" i="1" s="1"/>
  <c r="V188" i="1" s="1"/>
  <c r="M189" i="1"/>
  <c r="N189" i="1" s="1"/>
  <c r="O189" i="1" s="1"/>
  <c r="V189" i="1" s="1"/>
  <c r="M190" i="1"/>
  <c r="N190" i="1" s="1"/>
  <c r="O190" i="1" s="1"/>
  <c r="V190" i="1" s="1"/>
  <c r="M191" i="1"/>
  <c r="N191" i="1" s="1"/>
  <c r="O191" i="1" s="1"/>
  <c r="V191" i="1" s="1"/>
  <c r="M192" i="1"/>
  <c r="N192" i="1" s="1"/>
  <c r="O192" i="1" s="1"/>
  <c r="V192" i="1" s="1"/>
  <c r="M193" i="1"/>
  <c r="N193" i="1" s="1"/>
  <c r="O193" i="1" s="1"/>
  <c r="V193" i="1" s="1"/>
  <c r="M194" i="1"/>
  <c r="N194" i="1" s="1"/>
  <c r="O194" i="1" s="1"/>
  <c r="V194" i="1" s="1"/>
  <c r="M195" i="1"/>
  <c r="N195" i="1" s="1"/>
  <c r="O195" i="1" s="1"/>
  <c r="V195" i="1" s="1"/>
  <c r="M196" i="1"/>
  <c r="N196" i="1" s="1"/>
  <c r="O196" i="1" s="1"/>
  <c r="V196" i="1" s="1"/>
  <c r="M197" i="1"/>
  <c r="N197" i="1" s="1"/>
  <c r="O197" i="1" s="1"/>
  <c r="V197" i="1" s="1"/>
  <c r="M198" i="1"/>
  <c r="N198" i="1" s="1"/>
  <c r="O198" i="1" s="1"/>
  <c r="V198" i="1" s="1"/>
  <c r="M199" i="1"/>
  <c r="N199" i="1" s="1"/>
  <c r="O199" i="1" s="1"/>
  <c r="V199" i="1" s="1"/>
  <c r="M200" i="1"/>
  <c r="N200" i="1" s="1"/>
  <c r="O200" i="1" s="1"/>
  <c r="V200" i="1" s="1"/>
  <c r="M201" i="1"/>
  <c r="N201" i="1" s="1"/>
  <c r="O201" i="1" s="1"/>
  <c r="V201" i="1" s="1"/>
  <c r="M202" i="1"/>
  <c r="N202" i="1" s="1"/>
  <c r="O202" i="1" s="1"/>
  <c r="V202" i="1" s="1"/>
  <c r="M203" i="1"/>
  <c r="N203" i="1" s="1"/>
  <c r="O203" i="1" s="1"/>
  <c r="V203" i="1" s="1"/>
  <c r="M204" i="1"/>
  <c r="N204" i="1" s="1"/>
  <c r="O204" i="1" s="1"/>
  <c r="V204" i="1" s="1"/>
  <c r="M205" i="1"/>
  <c r="N205" i="1" s="1"/>
  <c r="O205" i="1" s="1"/>
  <c r="V205" i="1" s="1"/>
  <c r="M206" i="1"/>
  <c r="N206" i="1" s="1"/>
  <c r="O206" i="1" s="1"/>
  <c r="V206" i="1" s="1"/>
  <c r="M207" i="1"/>
  <c r="N207" i="1" s="1"/>
  <c r="O207" i="1" s="1"/>
  <c r="V207" i="1" s="1"/>
  <c r="M208" i="1"/>
  <c r="N208" i="1" s="1"/>
  <c r="O208" i="1" s="1"/>
  <c r="V208" i="1" s="1"/>
  <c r="M209" i="1"/>
  <c r="N209" i="1" s="1"/>
  <c r="O209" i="1" s="1"/>
  <c r="V209" i="1" s="1"/>
  <c r="M210" i="1"/>
  <c r="N210" i="1" s="1"/>
  <c r="O210" i="1" s="1"/>
  <c r="V210" i="1" s="1"/>
  <c r="M211" i="1"/>
  <c r="N211" i="1" s="1"/>
  <c r="O211" i="1" s="1"/>
  <c r="V211" i="1" s="1"/>
  <c r="M212" i="1"/>
  <c r="N212" i="1" s="1"/>
  <c r="O212" i="1" s="1"/>
  <c r="V212" i="1" s="1"/>
  <c r="M213" i="1"/>
  <c r="N213" i="1" s="1"/>
  <c r="O213" i="1" s="1"/>
  <c r="V213" i="1" s="1"/>
  <c r="M214" i="1"/>
  <c r="N214" i="1" s="1"/>
  <c r="O214" i="1" s="1"/>
  <c r="V214" i="1" s="1"/>
  <c r="M215" i="1"/>
  <c r="N215" i="1" s="1"/>
  <c r="O215" i="1" s="1"/>
  <c r="V215" i="1" s="1"/>
  <c r="M216" i="1"/>
  <c r="N216" i="1" s="1"/>
  <c r="O216" i="1" s="1"/>
  <c r="V216" i="1" s="1"/>
  <c r="M217" i="1"/>
  <c r="N217" i="1" s="1"/>
  <c r="O217" i="1" s="1"/>
  <c r="V217" i="1" s="1"/>
  <c r="M218" i="1"/>
  <c r="N218" i="1" s="1"/>
  <c r="O218" i="1" s="1"/>
  <c r="V218" i="1" s="1"/>
  <c r="M219" i="1"/>
  <c r="N219" i="1" s="1"/>
  <c r="O219" i="1" s="1"/>
  <c r="V219" i="1" s="1"/>
  <c r="M220" i="1"/>
  <c r="N220" i="1" s="1"/>
  <c r="O220" i="1" s="1"/>
  <c r="V220" i="1" s="1"/>
  <c r="M221" i="1"/>
  <c r="N221" i="1" s="1"/>
  <c r="O221" i="1" s="1"/>
  <c r="V221" i="1" s="1"/>
  <c r="M222" i="1"/>
  <c r="N222" i="1" s="1"/>
  <c r="O222" i="1" s="1"/>
  <c r="V222" i="1" s="1"/>
  <c r="M223" i="1"/>
  <c r="N223" i="1" s="1"/>
  <c r="O223" i="1" s="1"/>
  <c r="V223" i="1" s="1"/>
  <c r="M224" i="1"/>
  <c r="N224" i="1" s="1"/>
  <c r="O224" i="1" s="1"/>
  <c r="V224" i="1" s="1"/>
  <c r="M225" i="1"/>
  <c r="N225" i="1" s="1"/>
  <c r="O225" i="1" s="1"/>
  <c r="V225" i="1" s="1"/>
  <c r="M226" i="1"/>
  <c r="N226" i="1" s="1"/>
  <c r="O226" i="1" s="1"/>
  <c r="V226" i="1" s="1"/>
  <c r="M227" i="1"/>
  <c r="N227" i="1" s="1"/>
  <c r="O227" i="1" s="1"/>
  <c r="V227" i="1" s="1"/>
  <c r="M228" i="1"/>
  <c r="N228" i="1" s="1"/>
  <c r="O228" i="1" s="1"/>
  <c r="V228" i="1" s="1"/>
  <c r="M229" i="1"/>
  <c r="N229" i="1" s="1"/>
  <c r="O229" i="1" s="1"/>
  <c r="V229" i="1" s="1"/>
  <c r="M230" i="1"/>
  <c r="N230" i="1" s="1"/>
  <c r="O230" i="1" s="1"/>
  <c r="V230" i="1" s="1"/>
  <c r="M231" i="1"/>
  <c r="N231" i="1" s="1"/>
  <c r="O231" i="1" s="1"/>
  <c r="V231" i="1" s="1"/>
  <c r="M232" i="1"/>
  <c r="N232" i="1" s="1"/>
  <c r="O232" i="1" s="1"/>
  <c r="V232" i="1" s="1"/>
  <c r="M233" i="1"/>
  <c r="N233" i="1" s="1"/>
  <c r="O233" i="1" s="1"/>
  <c r="V233" i="1" s="1"/>
  <c r="M234" i="1"/>
  <c r="N234" i="1" s="1"/>
  <c r="O234" i="1" s="1"/>
  <c r="V234" i="1" s="1"/>
  <c r="M235" i="1"/>
  <c r="N235" i="1" s="1"/>
  <c r="O235" i="1" s="1"/>
  <c r="V235" i="1" s="1"/>
  <c r="M236" i="1"/>
  <c r="N236" i="1" s="1"/>
  <c r="O236" i="1" s="1"/>
  <c r="V236" i="1" s="1"/>
  <c r="M237" i="1"/>
  <c r="N237" i="1" s="1"/>
  <c r="O237" i="1" s="1"/>
  <c r="V237" i="1" s="1"/>
  <c r="M238" i="1"/>
  <c r="N238" i="1" s="1"/>
  <c r="O238" i="1" s="1"/>
  <c r="V238" i="1" s="1"/>
  <c r="M239" i="1"/>
  <c r="N239" i="1" s="1"/>
  <c r="O239" i="1" s="1"/>
  <c r="V239" i="1" s="1"/>
  <c r="M240" i="1"/>
  <c r="N240" i="1" s="1"/>
  <c r="O240" i="1" s="1"/>
  <c r="V240" i="1" s="1"/>
  <c r="M241" i="1"/>
  <c r="N241" i="1" s="1"/>
  <c r="O241" i="1" s="1"/>
  <c r="V241" i="1" s="1"/>
  <c r="M242" i="1"/>
  <c r="N242" i="1" s="1"/>
  <c r="O242" i="1" s="1"/>
  <c r="V242" i="1" s="1"/>
  <c r="M243" i="1"/>
  <c r="N243" i="1" s="1"/>
  <c r="O243" i="1" s="1"/>
  <c r="V243" i="1" s="1"/>
  <c r="M244" i="1"/>
  <c r="N244" i="1" s="1"/>
  <c r="O244" i="1" s="1"/>
  <c r="V244" i="1" s="1"/>
  <c r="M245" i="1"/>
  <c r="N245" i="1" s="1"/>
  <c r="O245" i="1" s="1"/>
  <c r="V245" i="1" s="1"/>
  <c r="M246" i="1"/>
  <c r="N246" i="1" s="1"/>
  <c r="O246" i="1" s="1"/>
  <c r="V246" i="1" s="1"/>
  <c r="M247" i="1"/>
  <c r="N247" i="1" s="1"/>
  <c r="O247" i="1" s="1"/>
  <c r="V247" i="1" s="1"/>
  <c r="M248" i="1"/>
  <c r="N248" i="1" s="1"/>
  <c r="O248" i="1" s="1"/>
  <c r="V248" i="1" s="1"/>
  <c r="M249" i="1"/>
  <c r="N249" i="1" s="1"/>
  <c r="O249" i="1" s="1"/>
  <c r="V249" i="1" s="1"/>
  <c r="M250" i="1"/>
  <c r="N250" i="1" s="1"/>
  <c r="O250" i="1" s="1"/>
  <c r="V250" i="1" s="1"/>
  <c r="M251" i="1"/>
  <c r="N251" i="1" s="1"/>
  <c r="O251" i="1" s="1"/>
  <c r="V251" i="1" s="1"/>
  <c r="M252" i="1"/>
  <c r="N252" i="1" s="1"/>
  <c r="O252" i="1" s="1"/>
  <c r="V252" i="1" s="1"/>
  <c r="M253" i="1"/>
  <c r="N253" i="1" s="1"/>
  <c r="O253" i="1" s="1"/>
  <c r="V253" i="1" s="1"/>
  <c r="M254" i="1"/>
  <c r="N254" i="1" s="1"/>
  <c r="O254" i="1" s="1"/>
  <c r="V254" i="1" s="1"/>
  <c r="M255" i="1"/>
  <c r="N255" i="1" s="1"/>
  <c r="O255" i="1" s="1"/>
  <c r="V255" i="1" s="1"/>
  <c r="M256" i="1"/>
  <c r="N256" i="1" s="1"/>
  <c r="O256" i="1" s="1"/>
  <c r="V256" i="1" s="1"/>
  <c r="M257" i="1"/>
  <c r="N257" i="1" s="1"/>
  <c r="O257" i="1" s="1"/>
  <c r="V257" i="1" s="1"/>
  <c r="M258" i="1"/>
  <c r="N258" i="1" s="1"/>
  <c r="O258" i="1" s="1"/>
  <c r="V258" i="1" s="1"/>
  <c r="M259" i="1"/>
  <c r="N259" i="1" s="1"/>
  <c r="O259" i="1" s="1"/>
  <c r="V259" i="1" s="1"/>
  <c r="M260" i="1"/>
  <c r="N260" i="1" s="1"/>
  <c r="O260" i="1" s="1"/>
  <c r="V260" i="1" s="1"/>
  <c r="M261" i="1"/>
  <c r="N261" i="1" s="1"/>
  <c r="O261" i="1" s="1"/>
  <c r="V261" i="1" s="1"/>
  <c r="M262" i="1"/>
  <c r="N262" i="1" s="1"/>
  <c r="O262" i="1" s="1"/>
  <c r="V262" i="1" s="1"/>
  <c r="M263" i="1"/>
  <c r="N263" i="1" s="1"/>
  <c r="O263" i="1" s="1"/>
  <c r="V263" i="1" s="1"/>
  <c r="M264" i="1"/>
  <c r="N264" i="1" s="1"/>
  <c r="O264" i="1" s="1"/>
  <c r="V264" i="1" s="1"/>
  <c r="M265" i="1"/>
  <c r="N265" i="1" s="1"/>
  <c r="O265" i="1" s="1"/>
  <c r="V265" i="1" s="1"/>
  <c r="M266" i="1"/>
  <c r="N266" i="1" s="1"/>
  <c r="O266" i="1" s="1"/>
  <c r="V266" i="1" s="1"/>
  <c r="M267" i="1"/>
  <c r="N267" i="1" s="1"/>
  <c r="O267" i="1" s="1"/>
  <c r="V267" i="1" s="1"/>
  <c r="M268" i="1"/>
  <c r="N268" i="1" s="1"/>
  <c r="O268" i="1" s="1"/>
  <c r="V268" i="1" s="1"/>
  <c r="M269" i="1"/>
  <c r="N269" i="1" s="1"/>
  <c r="O269" i="1" s="1"/>
  <c r="V269" i="1" s="1"/>
  <c r="M270" i="1"/>
  <c r="N270" i="1" s="1"/>
  <c r="O270" i="1" s="1"/>
  <c r="V270" i="1" s="1"/>
  <c r="M271" i="1"/>
  <c r="N271" i="1" s="1"/>
  <c r="O271" i="1" s="1"/>
  <c r="V271" i="1" s="1"/>
  <c r="M272" i="1"/>
  <c r="N272" i="1" s="1"/>
  <c r="O272" i="1" s="1"/>
  <c r="V272" i="1" s="1"/>
  <c r="M273" i="1"/>
  <c r="N273" i="1" s="1"/>
  <c r="O273" i="1" s="1"/>
  <c r="V273" i="1" s="1"/>
  <c r="M274" i="1"/>
  <c r="N274" i="1" s="1"/>
  <c r="O274" i="1" s="1"/>
  <c r="V274" i="1" s="1"/>
  <c r="M275" i="1"/>
  <c r="N275" i="1" s="1"/>
  <c r="O275" i="1" s="1"/>
  <c r="V275" i="1" s="1"/>
  <c r="M276" i="1"/>
  <c r="N276" i="1" s="1"/>
  <c r="O276" i="1" s="1"/>
  <c r="V276" i="1" s="1"/>
  <c r="M277" i="1"/>
  <c r="N277" i="1" s="1"/>
  <c r="O277" i="1" s="1"/>
  <c r="V277" i="1" s="1"/>
  <c r="M278" i="1"/>
  <c r="N278" i="1" s="1"/>
  <c r="O278" i="1" s="1"/>
  <c r="V278" i="1" s="1"/>
  <c r="M279" i="1"/>
  <c r="N279" i="1" s="1"/>
  <c r="O279" i="1" s="1"/>
  <c r="V279" i="1" s="1"/>
  <c r="M280" i="1"/>
  <c r="N280" i="1" s="1"/>
  <c r="O280" i="1" s="1"/>
  <c r="V280" i="1" s="1"/>
  <c r="M281" i="1"/>
  <c r="N281" i="1" s="1"/>
  <c r="O281" i="1" s="1"/>
  <c r="V281" i="1" s="1"/>
  <c r="M282" i="1"/>
  <c r="N282" i="1" s="1"/>
  <c r="O282" i="1" s="1"/>
  <c r="V282" i="1" s="1"/>
  <c r="M283" i="1"/>
  <c r="N283" i="1" s="1"/>
  <c r="O283" i="1" s="1"/>
  <c r="V283" i="1" s="1"/>
  <c r="M284" i="1"/>
  <c r="N284" i="1" s="1"/>
  <c r="O284" i="1" s="1"/>
  <c r="V284" i="1" s="1"/>
  <c r="M285" i="1"/>
  <c r="N285" i="1" s="1"/>
  <c r="O285" i="1" s="1"/>
  <c r="V285" i="1" s="1"/>
  <c r="M286" i="1"/>
  <c r="N286" i="1" s="1"/>
  <c r="O286" i="1" s="1"/>
  <c r="V286" i="1" s="1"/>
  <c r="M287" i="1"/>
  <c r="N287" i="1" s="1"/>
  <c r="O287" i="1" s="1"/>
  <c r="V287" i="1" s="1"/>
  <c r="M288" i="1"/>
  <c r="N288" i="1" s="1"/>
  <c r="O288" i="1" s="1"/>
  <c r="V288" i="1" s="1"/>
  <c r="M289" i="1"/>
  <c r="N289" i="1" s="1"/>
  <c r="O289" i="1" s="1"/>
  <c r="V289" i="1" s="1"/>
  <c r="M290" i="1"/>
  <c r="N290" i="1" s="1"/>
  <c r="O290" i="1" s="1"/>
  <c r="V290" i="1" s="1"/>
  <c r="M291" i="1"/>
  <c r="N291" i="1" s="1"/>
  <c r="O291" i="1" s="1"/>
  <c r="V291" i="1" s="1"/>
  <c r="M292" i="1"/>
  <c r="N292" i="1" s="1"/>
  <c r="O292" i="1" s="1"/>
  <c r="V292" i="1" s="1"/>
  <c r="M293" i="1"/>
  <c r="N293" i="1" s="1"/>
  <c r="O293" i="1" s="1"/>
  <c r="V293" i="1" s="1"/>
  <c r="M294" i="1"/>
  <c r="N294" i="1" s="1"/>
  <c r="O294" i="1" s="1"/>
  <c r="V294" i="1" s="1"/>
  <c r="M295" i="1"/>
  <c r="N295" i="1" s="1"/>
  <c r="O295" i="1" s="1"/>
  <c r="V295" i="1" s="1"/>
  <c r="M296" i="1"/>
  <c r="N296" i="1" s="1"/>
  <c r="O296" i="1" s="1"/>
  <c r="V296" i="1" s="1"/>
  <c r="M297" i="1"/>
  <c r="N297" i="1" s="1"/>
  <c r="O297" i="1" s="1"/>
  <c r="V297" i="1" s="1"/>
  <c r="M298" i="1"/>
  <c r="N298" i="1" s="1"/>
  <c r="O298" i="1" s="1"/>
  <c r="V298" i="1" s="1"/>
  <c r="M299" i="1"/>
  <c r="N299" i="1" s="1"/>
  <c r="O299" i="1" s="1"/>
  <c r="V299" i="1" s="1"/>
  <c r="M300" i="1"/>
  <c r="N300" i="1" s="1"/>
  <c r="O300" i="1" s="1"/>
  <c r="V300" i="1" s="1"/>
  <c r="M301" i="1"/>
  <c r="N301" i="1" s="1"/>
  <c r="O301" i="1" s="1"/>
  <c r="V301" i="1" s="1"/>
  <c r="M302" i="1"/>
  <c r="N302" i="1" s="1"/>
  <c r="O302" i="1" s="1"/>
  <c r="V302" i="1" s="1"/>
  <c r="M303" i="1"/>
  <c r="N303" i="1" s="1"/>
  <c r="O303" i="1" s="1"/>
  <c r="V303" i="1" s="1"/>
  <c r="M304" i="1"/>
  <c r="N304" i="1" s="1"/>
  <c r="O304" i="1" s="1"/>
  <c r="V304" i="1" s="1"/>
  <c r="M305" i="1"/>
  <c r="N305" i="1" s="1"/>
  <c r="O305" i="1" s="1"/>
  <c r="V305" i="1" s="1"/>
  <c r="M306" i="1"/>
  <c r="N306" i="1" s="1"/>
  <c r="O306" i="1" s="1"/>
  <c r="V306" i="1" s="1"/>
  <c r="M307" i="1"/>
  <c r="N307" i="1" s="1"/>
  <c r="O307" i="1" s="1"/>
  <c r="V307" i="1" s="1"/>
  <c r="M308" i="1"/>
  <c r="N308" i="1" s="1"/>
  <c r="O308" i="1" s="1"/>
  <c r="V308" i="1" s="1"/>
  <c r="M309" i="1"/>
  <c r="N309" i="1" s="1"/>
  <c r="O309" i="1" s="1"/>
  <c r="V309" i="1" s="1"/>
  <c r="M310" i="1"/>
  <c r="N310" i="1" s="1"/>
  <c r="O310" i="1" s="1"/>
  <c r="V310" i="1" s="1"/>
  <c r="M311" i="1"/>
  <c r="N311" i="1" s="1"/>
  <c r="O311" i="1" s="1"/>
  <c r="V311" i="1" s="1"/>
  <c r="M312" i="1"/>
  <c r="N312" i="1" s="1"/>
  <c r="O312" i="1" s="1"/>
  <c r="V312" i="1" s="1"/>
  <c r="M2" i="1"/>
  <c r="N2" i="1" s="1"/>
  <c r="O2" i="1" s="1"/>
  <c r="V2" i="1" s="1"/>
  <c r="P3" i="1"/>
  <c r="P4" i="1"/>
  <c r="P5" i="1"/>
  <c r="P6" i="1"/>
  <c r="P7" i="1"/>
  <c r="P8" i="1"/>
  <c r="P10" i="1"/>
  <c r="P11" i="1"/>
  <c r="P12" i="1"/>
  <c r="P13" i="1"/>
  <c r="P14" i="1"/>
  <c r="P15" i="1"/>
  <c r="P16" i="1"/>
  <c r="P17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2" i="1"/>
</calcChain>
</file>

<file path=xl/sharedStrings.xml><?xml version="1.0" encoding="utf-8"?>
<sst xmlns="http://schemas.openxmlformats.org/spreadsheetml/2006/main" count="2697" uniqueCount="242">
  <si>
    <t>EmpID</t>
  </si>
  <si>
    <t>DOB</t>
  </si>
  <si>
    <t>Salary</t>
  </si>
  <si>
    <t>Gender</t>
  </si>
  <si>
    <t>Position</t>
  </si>
  <si>
    <t>EmploymentStatus</t>
  </si>
  <si>
    <t>Department</t>
  </si>
  <si>
    <t>PercentSalaryHike</t>
  </si>
  <si>
    <t>EmpSatisfaction</t>
  </si>
  <si>
    <t>SpecialProjectsCount</t>
  </si>
  <si>
    <t>Male</t>
  </si>
  <si>
    <t>Production Technician I</t>
  </si>
  <si>
    <t>Active</t>
  </si>
  <si>
    <t xml:space="preserve">Production       </t>
  </si>
  <si>
    <t>Sr. DBA</t>
  </si>
  <si>
    <t>Voluntarily Terminated</t>
  </si>
  <si>
    <t>IT/IS</t>
  </si>
  <si>
    <t>F</t>
  </si>
  <si>
    <t>Production Technician II</t>
  </si>
  <si>
    <t>Female</t>
  </si>
  <si>
    <t>Software Engineer</t>
  </si>
  <si>
    <t>Software Engineering</t>
  </si>
  <si>
    <t xml:space="preserve">M </t>
  </si>
  <si>
    <t>IT Support</t>
  </si>
  <si>
    <t>Data Analyst</t>
  </si>
  <si>
    <t>Terminated for Cause</t>
  </si>
  <si>
    <t>Database Administrator</t>
  </si>
  <si>
    <t>Enterprise Architect</t>
  </si>
  <si>
    <t>Sr. Accountant</t>
  </si>
  <si>
    <t>Admin Offices</t>
  </si>
  <si>
    <t>Production Manager</t>
  </si>
  <si>
    <t>Accountant I</t>
  </si>
  <si>
    <t>Area Sales Manager</t>
  </si>
  <si>
    <t>Sales</t>
  </si>
  <si>
    <t>Software Engineering Manager</t>
  </si>
  <si>
    <t>BI Director</t>
  </si>
  <si>
    <t>Director of Operations</t>
  </si>
  <si>
    <t>Sr. Network Engineer</t>
  </si>
  <si>
    <t>Sales Manager</t>
  </si>
  <si>
    <t>BI Developer</t>
  </si>
  <si>
    <t>IT Manager - Support</t>
  </si>
  <si>
    <t>Network Engineer</t>
  </si>
  <si>
    <t>IT Director</t>
  </si>
  <si>
    <t>Director of Sales</t>
  </si>
  <si>
    <t>Administrative Assistant</t>
  </si>
  <si>
    <t>President &amp; CEO</t>
  </si>
  <si>
    <t>Executive Office</t>
  </si>
  <si>
    <t>Senior BI Developer</t>
  </si>
  <si>
    <t>Shared Services Manager</t>
  </si>
  <si>
    <t>IT Manager - Infra</t>
  </si>
  <si>
    <t>Principal Data Architect</t>
  </si>
  <si>
    <t>Data Architect</t>
  </si>
  <si>
    <t>IT Manager - DB</t>
  </si>
  <si>
    <t xml:space="preserve">Data Analyst </t>
  </si>
  <si>
    <t>CIO</t>
  </si>
  <si>
    <t>54K</t>
  </si>
  <si>
    <t>64K</t>
  </si>
  <si>
    <t>62K</t>
  </si>
  <si>
    <t>52K</t>
  </si>
  <si>
    <t xml:space="preserve">      Production Technician I</t>
  </si>
  <si>
    <t xml:space="preserve">      Production Technician II</t>
  </si>
  <si>
    <t xml:space="preserve">  Production Technician I</t>
  </si>
  <si>
    <t xml:space="preserve"> Data Analyst</t>
  </si>
  <si>
    <t xml:space="preserve"> Production Technician I</t>
  </si>
  <si>
    <t>IT&amp;IS</t>
  </si>
  <si>
    <t>ITIS</t>
  </si>
  <si>
    <t>High</t>
  </si>
  <si>
    <t>Low</t>
  </si>
  <si>
    <t>57K</t>
  </si>
  <si>
    <t>09/19/1988</t>
  </si>
  <si>
    <t>09/27/1988</t>
  </si>
  <si>
    <t>05/22/1977</t>
  </si>
  <si>
    <t>05/24/1979</t>
  </si>
  <si>
    <t>02/18/1983</t>
  </si>
  <si>
    <t>02/21/1974</t>
  </si>
  <si>
    <t>07/20/1983</t>
  </si>
  <si>
    <t>07/15/1977</t>
  </si>
  <si>
    <t>10/18/1981</t>
  </si>
  <si>
    <t>04/17/1966</t>
  </si>
  <si>
    <t>10/27/1970</t>
  </si>
  <si>
    <t>12/22/1970</t>
  </si>
  <si>
    <t>12/27/1958</t>
  </si>
  <si>
    <t>09/21/1990</t>
  </si>
  <si>
    <t>01/16/1967</t>
  </si>
  <si>
    <t>07/30/1964</t>
  </si>
  <si>
    <t>08/24/1990</t>
  </si>
  <si>
    <t>11/24/1987</t>
  </si>
  <si>
    <t>07/28/1983</t>
  </si>
  <si>
    <t>10/30/1969</t>
  </si>
  <si>
    <t>08/19/1977</t>
  </si>
  <si>
    <t>11/22/1966</t>
  </si>
  <si>
    <t>08/24/1983</t>
  </si>
  <si>
    <t>08/27/1983</t>
  </si>
  <si>
    <t>08/30/1979</t>
  </si>
  <si>
    <t>02/24/1979</t>
  </si>
  <si>
    <t>08/17/1978</t>
  </si>
  <si>
    <t>05/24/1987</t>
  </si>
  <si>
    <t>07/30/1983</t>
  </si>
  <si>
    <t>04/20/1985</t>
  </si>
  <si>
    <t>11/14/1955</t>
  </si>
  <si>
    <t>01/31/1987</t>
  </si>
  <si>
    <t>06/14/1983</t>
  </si>
  <si>
    <t>03/15/1985</t>
  </si>
  <si>
    <t>03/15/1986</t>
  </si>
  <si>
    <t>03/15/1987</t>
  </si>
  <si>
    <t>05/15/1963</t>
  </si>
  <si>
    <t>05/31/1988</t>
  </si>
  <si>
    <t>08/31/1981</t>
  </si>
  <si>
    <t>08/26/1980</t>
  </si>
  <si>
    <t>12/17/1975</t>
  </si>
  <si>
    <t>03/19/1983</t>
  </si>
  <si>
    <t>03/31/1977</t>
  </si>
  <si>
    <t>08/26/1986</t>
  </si>
  <si>
    <t>04/19/1990</t>
  </si>
  <si>
    <t>01/18/1952</t>
  </si>
  <si>
    <t>09/14/1979</t>
  </si>
  <si>
    <t>04/15/1988</t>
  </si>
  <si>
    <t>10/31/1977</t>
  </si>
  <si>
    <t>02/25/1951</t>
  </si>
  <si>
    <t>04/19/1967</t>
  </si>
  <si>
    <t>05/14/1987</t>
  </si>
  <si>
    <t>11/15/1982</t>
  </si>
  <si>
    <t>07/18/1988</t>
  </si>
  <si>
    <t>11/28/1973</t>
  </si>
  <si>
    <t>09/23/1973</t>
  </si>
  <si>
    <t>08/25/1978</t>
  </si>
  <si>
    <t>05/31/1974</t>
  </si>
  <si>
    <t>08/25/1989</t>
  </si>
  <si>
    <t>05/15/1987</t>
  </si>
  <si>
    <t>09/22/1978</t>
  </si>
  <si>
    <t>09/27/1987</t>
  </si>
  <si>
    <t>04/14/1955</t>
  </si>
  <si>
    <t>10/18/1989</t>
  </si>
  <si>
    <t>06/18/1987</t>
  </si>
  <si>
    <t>03/16/1981</t>
  </si>
  <si>
    <t>04/16/1979</t>
  </si>
  <si>
    <t>08/28/1963</t>
  </si>
  <si>
    <t>09/15/1985</t>
  </si>
  <si>
    <t>05/15/1970</t>
  </si>
  <si>
    <t>09/22/1989</t>
  </si>
  <si>
    <t>10/23/1971</t>
  </si>
  <si>
    <t>11/24/1989</t>
  </si>
  <si>
    <t>06/18/1992</t>
  </si>
  <si>
    <t>09/29/1969</t>
  </si>
  <si>
    <t>04/16/1981</t>
  </si>
  <si>
    <t>05/25/1986</t>
  </si>
  <si>
    <t>05/21/1979</t>
  </si>
  <si>
    <t>05/21/1983</t>
  </si>
  <si>
    <t>06/30/1989</t>
  </si>
  <si>
    <t>03/23/1977</t>
  </si>
  <si>
    <t>08/18/1952</t>
  </si>
  <si>
    <t>08/27/1972</t>
  </si>
  <si>
    <t>09/14/1988</t>
  </si>
  <si>
    <t>02/16/1984</t>
  </si>
  <si>
    <t>02/21/1984</t>
  </si>
  <si>
    <t>03/17/1966</t>
  </si>
  <si>
    <t>09/16/1985</t>
  </si>
  <si>
    <t>09/22/1976</t>
  </si>
  <si>
    <t>11/15/1976</t>
  </si>
  <si>
    <t>01/28/1991</t>
  </si>
  <si>
    <t>03/22/1966</t>
  </si>
  <si>
    <t>04/13/1964</t>
  </si>
  <si>
    <t>08/19/1959</t>
  </si>
  <si>
    <t>04/17/1986</t>
  </si>
  <si>
    <t>01/19/1976</t>
  </si>
  <si>
    <t>11/27/1979</t>
  </si>
  <si>
    <t>09/21/1954</t>
  </si>
  <si>
    <t>02/24/1969</t>
  </si>
  <si>
    <t>04/23/1986</t>
  </si>
  <si>
    <t>07/25/1979</t>
  </si>
  <si>
    <t>04/26/1984</t>
  </si>
  <si>
    <t>06/14/1987</t>
  </si>
  <si>
    <t>01/17/1979</t>
  </si>
  <si>
    <t>12/27/1988</t>
  </si>
  <si>
    <t>10/26/1981</t>
  </si>
  <si>
    <t>03/26/1981</t>
  </si>
  <si>
    <t>03/19/1979</t>
  </si>
  <si>
    <t>03/28/1982</t>
  </si>
  <si>
    <t>12/26/1976</t>
  </si>
  <si>
    <t>10/22/1975</t>
  </si>
  <si>
    <t>08/25/1976</t>
  </si>
  <si>
    <t>02/14/1973</t>
  </si>
  <si>
    <t>11/22/1977</t>
  </si>
  <si>
    <t>05/21/1987</t>
  </si>
  <si>
    <t>05/30/1968</t>
  </si>
  <si>
    <t>06/29/1985</t>
  </si>
  <si>
    <t>08/17/1992</t>
  </si>
  <si>
    <t>04/24/1970</t>
  </si>
  <si>
    <t>04/18/1980</t>
  </si>
  <si>
    <t>04/25/1970</t>
  </si>
  <si>
    <t>03/28/1983</t>
  </si>
  <si>
    <t>03/31/1989</t>
  </si>
  <si>
    <t>11/23/1985</t>
  </si>
  <si>
    <t>09/30/1980</t>
  </si>
  <si>
    <t>11/24/1979</t>
  </si>
  <si>
    <t>05/19/1982</t>
  </si>
  <si>
    <t>02/20/1979</t>
  </si>
  <si>
    <t>07/18/1989</t>
  </si>
  <si>
    <t>03/17/1988</t>
  </si>
  <si>
    <t>07/20/1986</t>
  </si>
  <si>
    <t>08/17/1986</t>
  </si>
  <si>
    <t>09/16/1984</t>
  </si>
  <si>
    <t>11/23/1981</t>
  </si>
  <si>
    <t>08/29/1988</t>
  </si>
  <si>
    <t>10/15/1984</t>
  </si>
  <si>
    <t>06/19/1961</t>
  </si>
  <si>
    <t>09/22/1970</t>
  </si>
  <si>
    <t>12/31/1984</t>
  </si>
  <si>
    <t>07/22/1982</t>
  </si>
  <si>
    <t>01/28/1985</t>
  </si>
  <si>
    <t>05/27/1973</t>
  </si>
  <si>
    <t>11/21/1972</t>
  </si>
  <si>
    <t>03/18/1987</t>
  </si>
  <si>
    <t>07/24/1986</t>
  </si>
  <si>
    <t>12/21/1974</t>
  </si>
  <si>
    <t>04/26/1986</t>
  </si>
  <si>
    <t>12/17/1987</t>
  </si>
  <si>
    <t>04/14/1981</t>
  </si>
  <si>
    <t>08/24/1985</t>
  </si>
  <si>
    <t>05/19/1988</t>
  </si>
  <si>
    <t>11/25/1987</t>
  </si>
  <si>
    <t>10/30/1963</t>
  </si>
  <si>
    <t>08/16/1984</t>
  </si>
  <si>
    <t>07/20/1968</t>
  </si>
  <si>
    <t>09/30/1975</t>
  </si>
  <si>
    <t>03/26/1973</t>
  </si>
  <si>
    <t>08/25/1982</t>
  </si>
  <si>
    <t>03/14/1985</t>
  </si>
  <si>
    <t>03/28/1978</t>
  </si>
  <si>
    <t>08/15/1968</t>
  </si>
  <si>
    <t>10/24/1987</t>
  </si>
  <si>
    <t>05/24/1953</t>
  </si>
  <si>
    <t>09/16/1975</t>
  </si>
  <si>
    <t>01/15/1968</t>
  </si>
  <si>
    <t>05/16/1983</t>
  </si>
  <si>
    <t xml:space="preserve">Age </t>
  </si>
  <si>
    <t>%SalaryHike</t>
  </si>
  <si>
    <t>SpecialProjCount</t>
  </si>
  <si>
    <t>To be updated</t>
  </si>
  <si>
    <t>11/25/1978</t>
  </si>
  <si>
    <t>DOB2</t>
  </si>
  <si>
    <t>DOB3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</si>
</sst>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i/>
      <sz val="11"/>
      <color theme="4" tint="-0.49998474074526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/>
    <xf numFmtId="1" fontId="19" fillId="0" borderId="0" xfId="0" applyNumberFormat="1" applyFont="1"/>
    <xf numFmtId="14" fontId="19" fillId="0" borderId="0" xfId="0" applyNumberFormat="1" applyFont="1"/>
    <xf numFmtId="0" fontId="19" fillId="0" borderId="0" xfId="0" applyFont="1" applyAlignment="1">
      <alignment horizontal="center"/>
    </xf>
    <xf numFmtId="0" fontId="19" fillId="33" borderId="11" xfId="0" applyFont="1" applyFill="1" applyBorder="1"/>
    <xf numFmtId="0" fontId="19" fillId="33" borderId="0" xfId="0" applyFont="1" applyFill="1"/>
    <xf numFmtId="1" fontId="19" fillId="33" borderId="0" xfId="0" applyNumberFormat="1" applyFont="1" applyFill="1"/>
    <xf numFmtId="0" fontId="19" fillId="0" borderId="10" xfId="0" applyFont="1" applyBorder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5C9A70-AE8B-4220-B786-6717F999AA87}" name="Table5" displayName="Table5" ref="A1:J312" totalsRowShown="0" headerRowDxfId="36" dataDxfId="35">
  <autoFilter ref="A1:J312" xr:uid="{648FE355-DD20-4D4A-9371-E8EDFA7E0CA7}"/>
  <tableColumns count="10">
    <tableColumn id="1" xr3:uid="{BD22D354-B16F-47C2-9E52-B8922028E831}" name="EmpID" dataDxfId="34"/>
    <tableColumn id="2" xr3:uid="{ED441A91-E733-4205-88A6-3737510892EA}" name="DOB" dataDxfId="33"/>
    <tableColumn id="3" xr3:uid="{8748D091-668B-45D9-ACF2-438E1C9780A9}" name="Salary" dataDxfId="32"/>
    <tableColumn id="4" xr3:uid="{E717E44A-D869-49BF-B712-02D035F79601}" name="Gender" dataDxfId="31"/>
    <tableColumn id="5" xr3:uid="{1394E742-D81C-45DB-9CE8-E1D0AB2452C1}" name="Position" dataDxfId="30"/>
    <tableColumn id="6" xr3:uid="{9BF51BD3-5AF4-495C-8A19-145A0CBF0F01}" name="EmploymentStatus" dataDxfId="29"/>
    <tableColumn id="7" xr3:uid="{13FE8AB1-4C4F-4E02-A06B-F54291FF78D5}" name="Department" dataDxfId="28"/>
    <tableColumn id="8" xr3:uid="{5EB55F56-402B-4843-9B5F-8952008D25EC}" name="PercentSalaryHike" dataDxfId="27"/>
    <tableColumn id="9" xr3:uid="{9CE908D6-6739-4707-8CC5-8F90A7C9BE09}" name="EmpSatisfaction" dataDxfId="26"/>
    <tableColumn id="10" xr3:uid="{725B5A65-C889-4B7C-ACEB-193396CCE7E2}" name="SpecialProjectsCount" dataDxfId="25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C6BC7D-83F9-4AAE-B5FE-CAD93DA838FD}" name="Table7" displayName="Table7" ref="M1:V312" totalsRowShown="0" headerRowDxfId="24" dataDxfId="23">
  <autoFilter ref="M1:V312" xr:uid="{648FE355-DD20-4D4A-9371-E8EDFA7E0CA7}"/>
  <tableColumns count="10">
    <tableColumn id="1" xr3:uid="{3BB2412B-AF14-45B6-A505-5410AC50B608}" name="DOB" dataDxfId="22">
      <calculatedColumnFormula>SUBSTITUTE(TEXT(B2,"dd/mm/yyyy"),"-","/")</calculatedColumnFormula>
    </tableColumn>
    <tableColumn id="2" xr3:uid="{0F2AC79C-2EA7-4A33-9726-9AC5F013782E}" name="DOB2" dataDxfId="21">
      <calculatedColumnFormula>IF(VALUE(MID(M2,4,2))&gt;12,DATE(RIGHT(M2,4),LEFT(M2,2),MID(M2,4,2)),M2)</calculatedColumnFormula>
    </tableColumn>
    <tableColumn id="3" xr3:uid="{5B9BE4D9-29F6-444E-867E-51B4BBF5ADDD}" name="DOB3" dataDxfId="20">
      <calculatedColumnFormula>SUBSTITUTE(TEXT(N2,"dd/mm/yyyy"),"-","/")</calculatedColumnFormula>
    </tableColumn>
    <tableColumn id="4" xr3:uid="{A19D7ADE-0A79-47D2-89CE-6ECF22770264}" name="Salary" dataDxfId="19">
      <calculatedColumnFormula>IF(RIGHT(C2,1)="K", LEFT(C2,LEN(C2)-1)*1000,C2)</calculatedColumnFormula>
    </tableColumn>
    <tableColumn id="5" xr3:uid="{647D5C23-81A0-474A-B0EC-E07B33A06B17}" name="Gender" dataDxfId="18">
      <calculatedColumnFormula>IF(LEFT(D2,1)="M","Male","Female")</calculatedColumnFormula>
    </tableColumn>
    <tableColumn id="6" xr3:uid="{F29DE346-081C-4EBA-B755-96FA46D78611}" name="Position" dataDxfId="17">
      <calculatedColumnFormula>TRIM(E2)</calculatedColumnFormula>
    </tableColumn>
    <tableColumn id="7" xr3:uid="{E551C893-8C44-4D4C-AC16-8B8C6B8F590D}" name="Department" dataDxfId="16">
      <calculatedColumnFormula>IF(G2="", "To be updated", IF(OR(G2="IT&amp;IS", G2="ITIS"), "IT/IS", G2))</calculatedColumnFormula>
    </tableColumn>
    <tableColumn id="8" xr3:uid="{EEE37B57-0260-4AB3-BFFD-F602F88CD6D6}" name="%SalaryHike" dataDxfId="15">
      <calculatedColumnFormula>IF(ISBLANK(H2),AVERAGE($H$2:$H$312),H2)</calculatedColumnFormula>
    </tableColumn>
    <tableColumn id="9" xr3:uid="{2F71FF6B-EC5D-4C9D-8DFE-62FA3DE89433}" name="EmpSatisfaction" dataDxfId="14">
      <calculatedColumnFormula>IF(I2="High",MAX($I$2:$I$312),IF(I2="Low",MIN($I$2:$I$312),I2))</calculatedColumnFormula>
    </tableColumn>
    <tableColumn id="10" xr3:uid="{089317BC-E6DB-49ED-BC26-0BF8FEBFAA3C}" name="Age " dataDxfId="13">
      <calculatedColumnFormula>DATEDIF(O2,TODAY(),"Y")</calculatedColumnFormula>
    </tableColumn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31AF6EC-0266-4899-9C9E-34E55C821F5A}" name="Table8" displayName="Table8" ref="A1:J312" totalsRowShown="0" headerRowDxfId="12" dataDxfId="11" tableBorderDxfId="10">
  <autoFilter ref="A1:J312" xr:uid="{931AF6EC-0266-4899-9C9E-34E55C821F5A}"/>
  <sortState xmlns:xlrd2="http://schemas.microsoft.com/office/spreadsheetml/2017/richdata2" ref="A2:J312">
    <sortCondition ref="F1:F312"/>
  </sortState>
  <tableColumns count="10">
    <tableColumn id="1" xr3:uid="{385B35B9-C7A4-4722-8B05-89B217508CC6}" name="EmpID" dataDxfId="9"/>
    <tableColumn id="2" xr3:uid="{1AB4CEF6-E5F7-430F-8288-6C4CABFDD28E}" name="Age " dataDxfId="8"/>
    <tableColumn id="3" xr3:uid="{1D40A078-B096-4A7F-A4AF-A496D3EA879D}" name="Salary" dataDxfId="7"/>
    <tableColumn id="4" xr3:uid="{F7CFCA67-B5A9-4514-9D89-97E082B64201}" name="Gender" dataDxfId="6"/>
    <tableColumn id="5" xr3:uid="{90D15424-07F1-461B-999F-1734779DCC31}" name="Position" dataDxfId="5"/>
    <tableColumn id="6" xr3:uid="{953F3014-B061-42CA-BABC-95339B2CC478}" name="EmploymentStatus" dataDxfId="4"/>
    <tableColumn id="7" xr3:uid="{DC21E69A-B7A6-4299-85CE-B837385CAAE2}" name="Department" dataDxfId="3"/>
    <tableColumn id="8" xr3:uid="{5B113B2C-4114-4149-994F-ACF27CE7FBEB}" name="%SalaryHike" dataDxfId="2"/>
    <tableColumn id="9" xr3:uid="{AED4271F-A05D-49D5-BEF0-A0D341FA7EA2}" name="EmpSatisfaction" dataDxfId="1"/>
    <tableColumn id="10" xr3:uid="{78D8D31C-330B-4A1B-87D7-617B7F586EE2}" name="SpecialProjCount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E355-DD20-4D4A-9371-E8EDFA7E0CA7}">
  <dimension ref="A1:V312"/>
  <sheetViews>
    <sheetView workbookViewId="0"/>
  </sheetViews>
  <sheetFormatPr defaultRowHeight="15" x14ac:dyDescent="0.25"/>
  <cols>
    <col min="2" max="2" width="18.28515625" customWidth="1"/>
    <col min="3" max="4" width="11.85546875" customWidth="1"/>
    <col min="5" max="5" width="27.140625" customWidth="1"/>
    <col min="6" max="6" width="22.85546875" customWidth="1"/>
    <col min="7" max="7" width="20.5703125" customWidth="1"/>
    <col min="8" max="8" width="19.5703125" customWidth="1"/>
    <col min="9" max="9" width="17.42578125" customWidth="1"/>
    <col min="10" max="10" width="21.85546875" customWidth="1"/>
    <col min="11" max="15" width="16.5703125" customWidth="1"/>
    <col min="16" max="16" width="11.5703125" customWidth="1"/>
    <col min="17" max="17" width="11.140625" customWidth="1"/>
    <col min="18" max="18" width="22.42578125" customWidth="1"/>
    <col min="19" max="19" width="20.28515625" customWidth="1"/>
    <col min="20" max="20" width="17.140625" customWidth="1"/>
    <col min="21" max="21" width="17.28515625" customWidth="1"/>
    <col min="22" max="22" width="8.28515625" customWidth="1"/>
    <col min="23" max="26" width="9.140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4" t="s">
        <v>1</v>
      </c>
      <c r="N1" s="4" t="s">
        <v>240</v>
      </c>
      <c r="O1" s="4" t="s">
        <v>241</v>
      </c>
      <c r="P1" s="1" t="s">
        <v>2</v>
      </c>
      <c r="Q1" s="1" t="s">
        <v>3</v>
      </c>
      <c r="R1" s="1" t="s">
        <v>4</v>
      </c>
      <c r="S1" s="1" t="s">
        <v>6</v>
      </c>
      <c r="T1" s="2" t="s">
        <v>236</v>
      </c>
      <c r="U1" s="1" t="s">
        <v>8</v>
      </c>
      <c r="V1" s="1" t="s">
        <v>235</v>
      </c>
    </row>
    <row r="2" spans="1:22" x14ac:dyDescent="0.25">
      <c r="A2" s="1">
        <v>10026</v>
      </c>
      <c r="B2" s="3">
        <v>30596</v>
      </c>
      <c r="C2" s="1">
        <v>62506</v>
      </c>
      <c r="D2" s="1" t="s">
        <v>10</v>
      </c>
      <c r="E2" s="1" t="s">
        <v>59</v>
      </c>
      <c r="F2" s="1" t="s">
        <v>12</v>
      </c>
      <c r="G2" s="1" t="s">
        <v>13</v>
      </c>
      <c r="H2" s="1">
        <v>13</v>
      </c>
      <c r="I2" s="1">
        <v>5</v>
      </c>
      <c r="J2" s="1">
        <v>0</v>
      </c>
      <c r="M2" s="1" t="str">
        <f>SUBSTITUTE(TEXT(B2,"dd/mm/yyyy"),"-","/")</f>
        <v>07/10/1983</v>
      </c>
      <c r="N2" s="3" t="str">
        <f>IF(VALUE(MID(M2,4,2))&gt;12,DATE(RIGHT(M2,4),LEFT(M2,2),MID(M2,4,2)),M2)</f>
        <v>07/10/1983</v>
      </c>
      <c r="O2" s="3" t="str">
        <f>SUBSTITUTE(TEXT(N2,"dd/mm/yyyy"),"-","/")</f>
        <v>07/10/1983</v>
      </c>
      <c r="P2" s="1">
        <f>IF(RIGHT(C2,1)="K", LEFT(C2,LEN(C2)-1)*1000,C2)</f>
        <v>62506</v>
      </c>
      <c r="Q2" s="1" t="str">
        <f>IF(LEFT(D2,1)="M","Male","Female")</f>
        <v>Male</v>
      </c>
      <c r="R2" s="1" t="str">
        <f>TRIM(E2)</f>
        <v>Production Technician I</v>
      </c>
      <c r="S2" s="1" t="str">
        <f>IF(G2="", "To be updated", IF(OR(G2="IT&amp;IS", G2="ITIS"), "IT/IS", G2))</f>
        <v xml:space="preserve">Production       </v>
      </c>
      <c r="T2" s="2">
        <f t="shared" ref="T2:T65" si="0">IF(ISBLANK(H2),AVERAGE($H$2:$H$312),H2)</f>
        <v>13</v>
      </c>
      <c r="U2" s="1">
        <f t="shared" ref="U2:U65" si="1">IF(I2="High",MAX($I$2:$I$312),IF(I2="Low",MIN($I$2:$I$312),I2))</f>
        <v>5</v>
      </c>
      <c r="V2" s="1">
        <f ca="1">DATEDIF(O2,TODAY(),"Y")</f>
        <v>41</v>
      </c>
    </row>
    <row r="3" spans="1:22" x14ac:dyDescent="0.25">
      <c r="A3" s="1">
        <v>10084</v>
      </c>
      <c r="B3" s="3">
        <v>27519</v>
      </c>
      <c r="C3" s="1">
        <v>104437</v>
      </c>
      <c r="D3" s="1" t="s">
        <v>10</v>
      </c>
      <c r="E3" s="1" t="s">
        <v>14</v>
      </c>
      <c r="F3" s="1" t="s">
        <v>15</v>
      </c>
      <c r="G3" s="1" t="s">
        <v>16</v>
      </c>
      <c r="H3" s="1">
        <v>12</v>
      </c>
      <c r="I3" s="1">
        <v>3</v>
      </c>
      <c r="J3" s="1">
        <v>6</v>
      </c>
      <c r="M3" s="1" t="str">
        <f>SUBSTITUTE(TEXT(B3,"dd/mm/yyyy"),"-","/")</f>
        <v>05/05/1975</v>
      </c>
      <c r="N3" s="3" t="str">
        <f t="shared" ref="N3:N66" si="2">IF(VALUE(MID(M3,4,2))&gt;12,DATE(RIGHT(M3,4),LEFT(M3,2),MID(M3,4,2)),M3)</f>
        <v>05/05/1975</v>
      </c>
      <c r="O3" s="3" t="str">
        <f t="shared" ref="O3:O66" si="3">SUBSTITUTE(TEXT(N3,"dd/mm/yyyy"),"-","/")</f>
        <v>05/05/1975</v>
      </c>
      <c r="P3" s="1">
        <f>IF(RIGHT(C3,1)="K", LEFT(C3,LEN(C3)-1)*1000,C3)</f>
        <v>104437</v>
      </c>
      <c r="Q3" s="1" t="str">
        <f>IF(LEFT(D3,1)="M","Male","Female")</f>
        <v>Male</v>
      </c>
      <c r="R3" s="1" t="str">
        <f>TRIM(E3)</f>
        <v>Sr. DBA</v>
      </c>
      <c r="S3" s="1" t="str">
        <f>IF(G3="", "To be updated", IF(OR(G3="IT&amp;IS", G3="ITIS"), "IT/IS", G3))</f>
        <v>IT/IS</v>
      </c>
      <c r="T3" s="2">
        <f t="shared" si="0"/>
        <v>12</v>
      </c>
      <c r="U3" s="1">
        <f t="shared" si="1"/>
        <v>3</v>
      </c>
      <c r="V3" s="1">
        <f t="shared" ref="V3:V66" ca="1" si="4">DATEDIF(O3,TODAY(),"Y")</f>
        <v>50</v>
      </c>
    </row>
    <row r="4" spans="1:22" x14ac:dyDescent="0.25">
      <c r="A4" s="1">
        <v>10196</v>
      </c>
      <c r="B4" s="1" t="s">
        <v>69</v>
      </c>
      <c r="C4" s="1">
        <v>64955</v>
      </c>
      <c r="D4" s="1" t="s">
        <v>17</v>
      </c>
      <c r="E4" s="1" t="s">
        <v>60</v>
      </c>
      <c r="F4" s="1" t="s">
        <v>15</v>
      </c>
      <c r="G4" s="1" t="s">
        <v>13</v>
      </c>
      <c r="H4" s="1">
        <v>14</v>
      </c>
      <c r="I4" s="1">
        <v>3</v>
      </c>
      <c r="J4" s="1">
        <v>0</v>
      </c>
      <c r="M4" s="1" t="str">
        <f>SUBSTITUTE(TEXT(B4,"dd/mm/yyyy"),"-","/")</f>
        <v>09/19/1988</v>
      </c>
      <c r="N4" s="3">
        <f t="shared" si="2"/>
        <v>32405</v>
      </c>
      <c r="O4" s="3" t="str">
        <f t="shared" si="3"/>
        <v>19/09/1988</v>
      </c>
      <c r="P4" s="1">
        <f>IF(RIGHT(C4,1)="K", LEFT(C4,LEN(C4)-1)*1000,C4)</f>
        <v>64955</v>
      </c>
      <c r="Q4" s="1" t="str">
        <f>IF(LEFT(D4,1)="M","Male","Female")</f>
        <v>Female</v>
      </c>
      <c r="R4" s="1" t="str">
        <f>TRIM(E4)</f>
        <v>Production Technician II</v>
      </c>
      <c r="S4" s="1" t="str">
        <f>IF(G4="", "To be updated", IF(OR(G4="IT&amp;IS", G4="ITIS"), "IT/IS", G4))</f>
        <v xml:space="preserve">Production       </v>
      </c>
      <c r="T4" s="2">
        <f t="shared" si="0"/>
        <v>14</v>
      </c>
      <c r="U4" s="1">
        <f t="shared" si="1"/>
        <v>3</v>
      </c>
      <c r="V4" s="1">
        <f t="shared" ca="1" si="4"/>
        <v>37</v>
      </c>
    </row>
    <row r="5" spans="1:22" x14ac:dyDescent="0.25">
      <c r="A5" s="1">
        <v>10088</v>
      </c>
      <c r="B5" s="1" t="s">
        <v>70</v>
      </c>
      <c r="C5" s="1">
        <v>64991</v>
      </c>
      <c r="D5" s="1" t="s">
        <v>17</v>
      </c>
      <c r="E5" s="1" t="s">
        <v>61</v>
      </c>
      <c r="F5" s="1" t="s">
        <v>12</v>
      </c>
      <c r="G5" s="1" t="s">
        <v>16</v>
      </c>
      <c r="H5" s="1">
        <v>15</v>
      </c>
      <c r="I5" s="1">
        <v>5</v>
      </c>
      <c r="J5" s="1">
        <v>0</v>
      </c>
      <c r="M5" s="1" t="str">
        <f>SUBSTITUTE(TEXT(B5,"dd/mm/yyyy"),"-","/")</f>
        <v>09/27/1988</v>
      </c>
      <c r="N5" s="3">
        <f t="shared" si="2"/>
        <v>32413</v>
      </c>
      <c r="O5" s="3" t="str">
        <f t="shared" si="3"/>
        <v>27/09/1988</v>
      </c>
      <c r="P5" s="1">
        <f>IF(RIGHT(C5,1)="K", LEFT(C5,LEN(C5)-1)*1000,C5)</f>
        <v>64991</v>
      </c>
      <c r="Q5" s="1" t="str">
        <f>IF(LEFT(D5,1)="M","Male","Female")</f>
        <v>Female</v>
      </c>
      <c r="R5" s="1" t="str">
        <f>TRIM(E5)</f>
        <v>Production Technician I</v>
      </c>
      <c r="S5" s="1" t="str">
        <f>IF(G5="", "To be updated", IF(OR(G5="IT&amp;IS", G5="ITIS"), "IT/IS", G5))</f>
        <v>IT/IS</v>
      </c>
      <c r="T5" s="2">
        <f t="shared" si="0"/>
        <v>15</v>
      </c>
      <c r="U5" s="1">
        <f t="shared" si="1"/>
        <v>5</v>
      </c>
      <c r="V5" s="1">
        <f t="shared" ca="1" si="4"/>
        <v>36</v>
      </c>
    </row>
    <row r="6" spans="1:22" x14ac:dyDescent="0.25">
      <c r="A6" s="1">
        <v>10069</v>
      </c>
      <c r="B6" s="3">
        <v>32729</v>
      </c>
      <c r="C6" s="1">
        <v>50825</v>
      </c>
      <c r="D6" s="1" t="s">
        <v>17</v>
      </c>
      <c r="E6" s="1" t="s">
        <v>61</v>
      </c>
      <c r="F6" s="1" t="s">
        <v>15</v>
      </c>
      <c r="G6" s="1"/>
      <c r="H6" s="1">
        <v>12</v>
      </c>
      <c r="I6" s="1">
        <v>4</v>
      </c>
      <c r="J6" s="1">
        <v>0</v>
      </c>
      <c r="M6" s="1" t="str">
        <f>SUBSTITUTE(TEXT(B6,"dd/mm/yyyy"),"-","/")</f>
        <v>09/08/1989</v>
      </c>
      <c r="N6" s="3" t="str">
        <f t="shared" si="2"/>
        <v>09/08/1989</v>
      </c>
      <c r="O6" s="3" t="str">
        <f t="shared" si="3"/>
        <v>09/08/1989</v>
      </c>
      <c r="P6" s="1">
        <f>IF(RIGHT(C6,1)="K", LEFT(C6,LEN(C6)-1)*1000,C6)</f>
        <v>50825</v>
      </c>
      <c r="Q6" s="1" t="str">
        <f>IF(LEFT(D6,1)="M","Male","Female")</f>
        <v>Female</v>
      </c>
      <c r="R6" s="1" t="str">
        <f>TRIM(E6)</f>
        <v>Production Technician I</v>
      </c>
      <c r="S6" s="1" t="str">
        <f>IF(G6="", "To be updated", IF(OR(G6="IT&amp;IS", G6="ITIS"), "IT/IS", G6))</f>
        <v>To be updated</v>
      </c>
      <c r="T6" s="2">
        <f t="shared" si="0"/>
        <v>12</v>
      </c>
      <c r="U6" s="1">
        <f t="shared" si="1"/>
        <v>4</v>
      </c>
      <c r="V6" s="1">
        <f t="shared" ca="1" si="4"/>
        <v>36</v>
      </c>
    </row>
    <row r="7" spans="1:22" x14ac:dyDescent="0.25">
      <c r="A7" s="1">
        <v>10002</v>
      </c>
      <c r="B7" s="1" t="s">
        <v>71</v>
      </c>
      <c r="C7" s="1" t="s">
        <v>68</v>
      </c>
      <c r="D7" s="1" t="s">
        <v>17</v>
      </c>
      <c r="E7" s="1" t="s">
        <v>61</v>
      </c>
      <c r="F7" s="1" t="s">
        <v>12</v>
      </c>
      <c r="G7" s="1" t="s">
        <v>13</v>
      </c>
      <c r="H7" s="1">
        <v>15</v>
      </c>
      <c r="I7" s="1">
        <v>5</v>
      </c>
      <c r="J7" s="1">
        <v>0</v>
      </c>
      <c r="M7" s="1" t="str">
        <f>SUBSTITUTE(TEXT(B7,"dd/mm/yyyy"),"-","/")</f>
        <v>05/22/1977</v>
      </c>
      <c r="N7" s="3">
        <f t="shared" si="2"/>
        <v>28267</v>
      </c>
      <c r="O7" s="3" t="str">
        <f t="shared" si="3"/>
        <v>22/05/1977</v>
      </c>
      <c r="P7" s="1">
        <f>IF(RIGHT(C7,1)="K", LEFT(C7,LEN(C7)-1)*1000,C7)</f>
        <v>57000</v>
      </c>
      <c r="Q7" s="1" t="str">
        <f>IF(LEFT(D7,1)="M","Male","Female")</f>
        <v>Female</v>
      </c>
      <c r="R7" s="1" t="str">
        <f>TRIM(E7)</f>
        <v>Production Technician I</v>
      </c>
      <c r="S7" s="1" t="str">
        <f>IF(G7="", "To be updated", IF(OR(G7="IT&amp;IS", G7="ITIS"), "IT/IS", G7))</f>
        <v xml:space="preserve">Production       </v>
      </c>
      <c r="T7" s="2">
        <f t="shared" si="0"/>
        <v>15</v>
      </c>
      <c r="U7" s="1">
        <f t="shared" si="1"/>
        <v>5</v>
      </c>
      <c r="V7" s="1">
        <f t="shared" ca="1" si="4"/>
        <v>48</v>
      </c>
    </row>
    <row r="8" spans="1:22" x14ac:dyDescent="0.25">
      <c r="A8" s="1">
        <v>10194</v>
      </c>
      <c r="B8" s="1" t="s">
        <v>72</v>
      </c>
      <c r="C8" s="1">
        <v>95660</v>
      </c>
      <c r="D8" s="1" t="s">
        <v>19</v>
      </c>
      <c r="E8" s="1" t="s">
        <v>20</v>
      </c>
      <c r="F8" s="1" t="s">
        <v>12</v>
      </c>
      <c r="G8" s="1" t="s">
        <v>21</v>
      </c>
      <c r="H8" s="1">
        <v>12</v>
      </c>
      <c r="I8" s="1" t="s">
        <v>66</v>
      </c>
      <c r="J8" s="1">
        <v>4</v>
      </c>
      <c r="M8" s="1" t="str">
        <f>SUBSTITUTE(TEXT(B8,"dd/mm/yyyy"),"-","/")</f>
        <v>05/24/1979</v>
      </c>
      <c r="N8" s="3">
        <f t="shared" si="2"/>
        <v>28999</v>
      </c>
      <c r="O8" s="3" t="str">
        <f t="shared" si="3"/>
        <v>24/05/1979</v>
      </c>
      <c r="P8" s="1">
        <f>IF(RIGHT(C8,1)="K", LEFT(C8,LEN(C8)-1)*1000,C8)</f>
        <v>95660</v>
      </c>
      <c r="Q8" s="1" t="str">
        <f>IF(LEFT(D8,1)="M","Male","Female")</f>
        <v>Female</v>
      </c>
      <c r="R8" s="1" t="str">
        <f>TRIM(E8)</f>
        <v>Software Engineer</v>
      </c>
      <c r="S8" s="1" t="str">
        <f>IF(G8="", "To be updated", IF(OR(G8="IT&amp;IS", G8="ITIS"), "IT/IS", G8))</f>
        <v>Software Engineering</v>
      </c>
      <c r="T8" s="2">
        <f t="shared" si="0"/>
        <v>12</v>
      </c>
      <c r="U8" s="1">
        <f t="shared" si="1"/>
        <v>5</v>
      </c>
      <c r="V8" s="1">
        <f t="shared" ca="1" si="4"/>
        <v>46</v>
      </c>
    </row>
    <row r="9" spans="1:22" x14ac:dyDescent="0.25">
      <c r="A9" s="1">
        <v>10062</v>
      </c>
      <c r="B9" s="1" t="s">
        <v>73</v>
      </c>
      <c r="C9" s="1">
        <v>59365</v>
      </c>
      <c r="D9" s="1" t="s">
        <v>22</v>
      </c>
      <c r="E9" s="1" t="s">
        <v>61</v>
      </c>
      <c r="F9" s="1" t="s">
        <v>12</v>
      </c>
      <c r="G9" s="1" t="s">
        <v>13</v>
      </c>
      <c r="H9" s="1">
        <v>16</v>
      </c>
      <c r="I9" s="1" t="s">
        <v>67</v>
      </c>
      <c r="J9" s="1">
        <v>0</v>
      </c>
      <c r="M9" s="1" t="str">
        <f>SUBSTITUTE(TEXT(B9,"dd/mm/yyyy"),"-","/")</f>
        <v>02/18/1983</v>
      </c>
      <c r="N9" s="3">
        <f t="shared" si="2"/>
        <v>30365</v>
      </c>
      <c r="O9" s="3" t="str">
        <f t="shared" si="3"/>
        <v>18/02/1983</v>
      </c>
      <c r="P9" s="1">
        <f>IF(RIGHT(C9,1)="K", LEFT(C9,LEN(C9)-1)*1000,C9)</f>
        <v>59365</v>
      </c>
      <c r="Q9" s="1" t="str">
        <f>IF(LEFT(D9,1)="M","Male","Female")</f>
        <v>Male</v>
      </c>
      <c r="R9" s="1" t="str">
        <f>TRIM(E9)</f>
        <v>Production Technician I</v>
      </c>
      <c r="S9" s="1" t="str">
        <f>IF(G9="", "To be updated", IF(OR(G9="IT&amp;IS", G9="ITIS"), "IT/IS", G9))</f>
        <v xml:space="preserve">Production       </v>
      </c>
      <c r="T9" s="2">
        <f t="shared" si="0"/>
        <v>16</v>
      </c>
      <c r="U9" s="1">
        <f t="shared" si="1"/>
        <v>1</v>
      </c>
      <c r="V9" s="1">
        <f t="shared" ca="1" si="4"/>
        <v>42</v>
      </c>
    </row>
    <row r="10" spans="1:22" x14ac:dyDescent="0.25">
      <c r="A10" s="1">
        <v>10114</v>
      </c>
      <c r="B10" s="3">
        <v>25874</v>
      </c>
      <c r="C10" s="1">
        <v>47837</v>
      </c>
      <c r="D10" s="1" t="s">
        <v>19</v>
      </c>
      <c r="E10" s="1" t="s">
        <v>61</v>
      </c>
      <c r="F10" s="1" t="s">
        <v>12</v>
      </c>
      <c r="G10" s="1" t="s">
        <v>13</v>
      </c>
      <c r="H10" s="1">
        <v>19</v>
      </c>
      <c r="I10" s="1">
        <v>3</v>
      </c>
      <c r="J10" s="1">
        <v>0</v>
      </c>
      <c r="M10" s="1" t="str">
        <f>SUBSTITUTE(TEXT(B10,"dd/mm/yyyy"),"-","/")</f>
        <v>02/11/1970</v>
      </c>
      <c r="N10" s="3" t="str">
        <f t="shared" si="2"/>
        <v>02/11/1970</v>
      </c>
      <c r="O10" s="3" t="str">
        <f t="shared" si="3"/>
        <v>02/11/1970</v>
      </c>
      <c r="P10" s="1">
        <f>IF(RIGHT(C10,1)="K", LEFT(C10,LEN(C10)-1)*1000,C10)</f>
        <v>47837</v>
      </c>
      <c r="Q10" s="1" t="str">
        <f>IF(LEFT(D10,1)="M","Male","Female")</f>
        <v>Female</v>
      </c>
      <c r="R10" s="1" t="str">
        <f>TRIM(E10)</f>
        <v>Production Technician I</v>
      </c>
      <c r="S10" s="1" t="str">
        <f>IF(G10="", "To be updated", IF(OR(G10="IT&amp;IS", G10="ITIS"), "IT/IS", G10))</f>
        <v xml:space="preserve">Production       </v>
      </c>
      <c r="T10" s="2">
        <f t="shared" si="0"/>
        <v>19</v>
      </c>
      <c r="U10" s="1">
        <f t="shared" si="1"/>
        <v>3</v>
      </c>
      <c r="V10" s="1">
        <f t="shared" ca="1" si="4"/>
        <v>54</v>
      </c>
    </row>
    <row r="11" spans="1:22" x14ac:dyDescent="0.25">
      <c r="A11" s="1">
        <v>10250</v>
      </c>
      <c r="B11" s="3">
        <v>32325</v>
      </c>
      <c r="C11" s="1">
        <v>50178</v>
      </c>
      <c r="D11" s="1" t="s">
        <v>22</v>
      </c>
      <c r="E11" s="1" t="s">
        <v>23</v>
      </c>
      <c r="F11" s="1" t="s">
        <v>12</v>
      </c>
      <c r="G11" s="1" t="s">
        <v>64</v>
      </c>
      <c r="H11" s="1"/>
      <c r="I11" s="1">
        <v>5</v>
      </c>
      <c r="J11" s="1">
        <v>6</v>
      </c>
      <c r="M11" s="1" t="str">
        <f>SUBSTITUTE(TEXT(B11,"dd/mm/yyyy"),"-","/")</f>
        <v>01/07/1988</v>
      </c>
      <c r="N11" s="3" t="str">
        <f t="shared" si="2"/>
        <v>01/07/1988</v>
      </c>
      <c r="O11" s="3" t="str">
        <f t="shared" si="3"/>
        <v>01/07/1988</v>
      </c>
      <c r="P11" s="1">
        <f>IF(RIGHT(C11,1)="K", LEFT(C11,LEN(C11)-1)*1000,C11)</f>
        <v>50178</v>
      </c>
      <c r="Q11" s="1" t="str">
        <f>IF(LEFT(D11,1)="M","Male","Female")</f>
        <v>Male</v>
      </c>
      <c r="R11" s="1" t="str">
        <f>TRIM(E11)</f>
        <v>IT Support</v>
      </c>
      <c r="S11" s="1" t="str">
        <f>IF(G11="", "To be updated", IF(OR(G11="IT&amp;IS", G11="ITIS"), "IT/IS", G11))</f>
        <v>IT/IS</v>
      </c>
      <c r="T11" s="2">
        <f t="shared" si="0"/>
        <v>15.260586319218241</v>
      </c>
      <c r="U11" s="1">
        <f t="shared" si="1"/>
        <v>5</v>
      </c>
      <c r="V11" s="1">
        <f t="shared" ca="1" si="4"/>
        <v>37</v>
      </c>
    </row>
    <row r="12" spans="1:22" x14ac:dyDescent="0.25">
      <c r="A12" s="1">
        <v>10252</v>
      </c>
      <c r="B12" s="3">
        <v>27364</v>
      </c>
      <c r="C12" s="1" t="s">
        <v>55</v>
      </c>
      <c r="D12" s="1" t="s">
        <v>17</v>
      </c>
      <c r="E12" s="1" t="s">
        <v>61</v>
      </c>
      <c r="F12" s="1" t="s">
        <v>15</v>
      </c>
      <c r="G12" s="1" t="s">
        <v>13</v>
      </c>
      <c r="H12" s="1">
        <v>21</v>
      </c>
      <c r="I12" s="1">
        <v>4</v>
      </c>
      <c r="J12" s="1">
        <v>0</v>
      </c>
      <c r="M12" s="1" t="str">
        <f>SUBSTITUTE(TEXT(B12,"dd/mm/yyyy"),"-","/")</f>
        <v>01/12/1974</v>
      </c>
      <c r="N12" s="3" t="str">
        <f t="shared" si="2"/>
        <v>01/12/1974</v>
      </c>
      <c r="O12" s="3" t="str">
        <f t="shared" si="3"/>
        <v>01/12/1974</v>
      </c>
      <c r="P12" s="1">
        <f>IF(RIGHT(C12,1)="K", LEFT(C12,LEN(C12)-1)*1000,C12)</f>
        <v>54000</v>
      </c>
      <c r="Q12" s="1" t="str">
        <f>IF(LEFT(D12,1)="M","Male","Female")</f>
        <v>Female</v>
      </c>
      <c r="R12" s="1" t="str">
        <f>TRIM(E12)</f>
        <v>Production Technician I</v>
      </c>
      <c r="S12" s="1" t="str">
        <f>IF(G12="", "To be updated", IF(OR(G12="IT&amp;IS", G12="ITIS"), "IT/IS", G12))</f>
        <v xml:space="preserve">Production       </v>
      </c>
      <c r="T12" s="2">
        <f t="shared" si="0"/>
        <v>21</v>
      </c>
      <c r="U12" s="1">
        <f t="shared" si="1"/>
        <v>4</v>
      </c>
      <c r="V12" s="1">
        <f t="shared" ca="1" si="4"/>
        <v>50</v>
      </c>
    </row>
    <row r="13" spans="1:22" x14ac:dyDescent="0.25">
      <c r="A13" s="1">
        <v>10242</v>
      </c>
      <c r="B13" s="1" t="s">
        <v>74</v>
      </c>
      <c r="C13" s="1">
        <v>47211</v>
      </c>
      <c r="D13" s="1" t="s">
        <v>22</v>
      </c>
      <c r="E13" s="1" t="s">
        <v>11</v>
      </c>
      <c r="F13" s="1" t="s">
        <v>15</v>
      </c>
      <c r="G13" s="1" t="s">
        <v>13</v>
      </c>
      <c r="H13" s="1">
        <v>22</v>
      </c>
      <c r="I13" s="1">
        <v>3</v>
      </c>
      <c r="J13" s="1">
        <v>0</v>
      </c>
      <c r="M13" s="1" t="str">
        <f>SUBSTITUTE(TEXT(B13,"dd/mm/yyyy"),"-","/")</f>
        <v>02/21/1974</v>
      </c>
      <c r="N13" s="3">
        <f t="shared" si="2"/>
        <v>27081</v>
      </c>
      <c r="O13" s="3" t="str">
        <f t="shared" si="3"/>
        <v>21/02/1974</v>
      </c>
      <c r="P13" s="1">
        <f>IF(RIGHT(C13,1)="K", LEFT(C13,LEN(C13)-1)*1000,C13)</f>
        <v>47211</v>
      </c>
      <c r="Q13" s="1" t="str">
        <f>IF(LEFT(D13,1)="M","Male","Female")</f>
        <v>Male</v>
      </c>
      <c r="R13" s="1" t="str">
        <f>TRIM(E13)</f>
        <v>Production Technician I</v>
      </c>
      <c r="S13" s="1" t="str">
        <f>IF(G13="", "To be updated", IF(OR(G13="IT&amp;IS", G13="ITIS"), "IT/IS", G13))</f>
        <v xml:space="preserve">Production       </v>
      </c>
      <c r="T13" s="2">
        <f t="shared" si="0"/>
        <v>22</v>
      </c>
      <c r="U13" s="1">
        <f t="shared" si="1"/>
        <v>3</v>
      </c>
      <c r="V13" s="1">
        <f t="shared" ca="1" si="4"/>
        <v>51</v>
      </c>
    </row>
    <row r="14" spans="1:22" x14ac:dyDescent="0.25">
      <c r="A14" s="1">
        <v>10012</v>
      </c>
      <c r="B14" s="3">
        <v>32240</v>
      </c>
      <c r="C14" s="1">
        <v>92328</v>
      </c>
      <c r="D14" s="1" t="s">
        <v>10</v>
      </c>
      <c r="E14" s="1" t="s">
        <v>62</v>
      </c>
      <c r="F14" s="1" t="s">
        <v>12</v>
      </c>
      <c r="G14" s="1" t="s">
        <v>16</v>
      </c>
      <c r="H14" s="1"/>
      <c r="I14" s="1">
        <v>4</v>
      </c>
      <c r="J14" s="1">
        <v>5</v>
      </c>
      <c r="M14" s="1" t="str">
        <f>SUBSTITUTE(TEXT(B14,"dd/mm/yyyy"),"-","/")</f>
        <v>07/04/1988</v>
      </c>
      <c r="N14" s="3" t="str">
        <f t="shared" si="2"/>
        <v>07/04/1988</v>
      </c>
      <c r="O14" s="3" t="str">
        <f t="shared" si="3"/>
        <v>07/04/1988</v>
      </c>
      <c r="P14" s="1">
        <f>IF(RIGHT(C14,1)="K", LEFT(C14,LEN(C14)-1)*1000,C14)</f>
        <v>92328</v>
      </c>
      <c r="Q14" s="1" t="str">
        <f>IF(LEFT(D14,1)="M","Male","Female")</f>
        <v>Male</v>
      </c>
      <c r="R14" s="1" t="str">
        <f>TRIM(E14)</f>
        <v>Data Analyst</v>
      </c>
      <c r="S14" s="1" t="str">
        <f>IF(G14="", "To be updated", IF(OR(G14="IT&amp;IS", G14="ITIS"), "IT/IS", G14))</f>
        <v>IT/IS</v>
      </c>
      <c r="T14" s="2">
        <f t="shared" si="0"/>
        <v>15.260586319218241</v>
      </c>
      <c r="U14" s="1">
        <f t="shared" si="1"/>
        <v>4</v>
      </c>
      <c r="V14" s="1">
        <f t="shared" ca="1" si="4"/>
        <v>37</v>
      </c>
    </row>
    <row r="15" spans="1:22" x14ac:dyDescent="0.25">
      <c r="A15" s="1">
        <v>10265</v>
      </c>
      <c r="B15" s="1" t="s">
        <v>75</v>
      </c>
      <c r="C15" s="1">
        <v>58709</v>
      </c>
      <c r="D15" s="1" t="s">
        <v>10</v>
      </c>
      <c r="E15" s="1" t="s">
        <v>61</v>
      </c>
      <c r="F15" s="1" t="s">
        <v>12</v>
      </c>
      <c r="G15" s="1" t="s">
        <v>13</v>
      </c>
      <c r="H15" s="1">
        <v>13</v>
      </c>
      <c r="I15" s="1">
        <v>4</v>
      </c>
      <c r="J15" s="1">
        <v>0</v>
      </c>
      <c r="M15" s="1" t="str">
        <f>SUBSTITUTE(TEXT(B15,"dd/mm/yyyy"),"-","/")</f>
        <v>07/20/1983</v>
      </c>
      <c r="N15" s="3">
        <f t="shared" si="2"/>
        <v>30517</v>
      </c>
      <c r="O15" s="3" t="str">
        <f t="shared" si="3"/>
        <v>20/07/1983</v>
      </c>
      <c r="P15" s="1">
        <f>IF(RIGHT(C15,1)="K", LEFT(C15,LEN(C15)-1)*1000,C15)</f>
        <v>58709</v>
      </c>
      <c r="Q15" s="1" t="str">
        <f>IF(LEFT(D15,1)="M","Male","Female")</f>
        <v>Male</v>
      </c>
      <c r="R15" s="1" t="str">
        <f>TRIM(E15)</f>
        <v>Production Technician I</v>
      </c>
      <c r="S15" s="1" t="str">
        <f>IF(G15="", "To be updated", IF(OR(G15="IT&amp;IS", G15="ITIS"), "IT/IS", G15))</f>
        <v xml:space="preserve">Production       </v>
      </c>
      <c r="T15" s="2">
        <f t="shared" si="0"/>
        <v>13</v>
      </c>
      <c r="U15" s="1">
        <f t="shared" si="1"/>
        <v>4</v>
      </c>
      <c r="V15" s="1">
        <f t="shared" ca="1" si="4"/>
        <v>42</v>
      </c>
    </row>
    <row r="16" spans="1:22" x14ac:dyDescent="0.25">
      <c r="A16" s="1">
        <v>10066</v>
      </c>
      <c r="B16" s="1" t="s">
        <v>76</v>
      </c>
      <c r="C16" s="1">
        <v>52505</v>
      </c>
      <c r="D16" s="1" t="s">
        <v>10</v>
      </c>
      <c r="E16" s="1" t="s">
        <v>11</v>
      </c>
      <c r="F16" s="1" t="s">
        <v>15</v>
      </c>
      <c r="G16" s="1" t="s">
        <v>13</v>
      </c>
      <c r="H16" s="1">
        <v>25</v>
      </c>
      <c r="I16" s="1">
        <v>5</v>
      </c>
      <c r="J16" s="1">
        <v>0</v>
      </c>
      <c r="M16" s="1" t="str">
        <f>SUBSTITUTE(TEXT(B16,"dd/mm/yyyy"),"-","/")</f>
        <v>07/15/1977</v>
      </c>
      <c r="N16" s="3">
        <f t="shared" si="2"/>
        <v>28321</v>
      </c>
      <c r="O16" s="3" t="str">
        <f t="shared" si="3"/>
        <v>15/07/1977</v>
      </c>
      <c r="P16" s="1">
        <f>IF(RIGHT(C16,1)="K", LEFT(C16,LEN(C16)-1)*1000,C16)</f>
        <v>52505</v>
      </c>
      <c r="Q16" s="1" t="str">
        <f>IF(LEFT(D16,1)="M","Male","Female")</f>
        <v>Male</v>
      </c>
      <c r="R16" s="1" t="str">
        <f>TRIM(E16)</f>
        <v>Production Technician I</v>
      </c>
      <c r="S16" s="1" t="str">
        <f>IF(G16="", "To be updated", IF(OR(G16="IT&amp;IS", G16="ITIS"), "IT/IS", G16))</f>
        <v xml:space="preserve">Production       </v>
      </c>
      <c r="T16" s="2">
        <f t="shared" si="0"/>
        <v>25</v>
      </c>
      <c r="U16" s="1">
        <f t="shared" si="1"/>
        <v>5</v>
      </c>
      <c r="V16" s="1">
        <f t="shared" ca="1" si="4"/>
        <v>48</v>
      </c>
    </row>
    <row r="17" spans="1:22" x14ac:dyDescent="0.25">
      <c r="A17" s="1">
        <v>10061</v>
      </c>
      <c r="B17" s="1" t="s">
        <v>77</v>
      </c>
      <c r="C17" s="1">
        <v>57834</v>
      </c>
      <c r="D17" s="1" t="s">
        <v>10</v>
      </c>
      <c r="E17" s="1" t="s">
        <v>63</v>
      </c>
      <c r="F17" s="1" t="s">
        <v>25</v>
      </c>
      <c r="G17" s="1" t="s">
        <v>13</v>
      </c>
      <c r="H17" s="1">
        <v>25</v>
      </c>
      <c r="I17" s="1">
        <v>4</v>
      </c>
      <c r="J17" s="1">
        <v>0</v>
      </c>
      <c r="M17" s="1" t="str">
        <f>SUBSTITUTE(TEXT(B17,"dd/mm/yyyy"),"-","/")</f>
        <v>10/18/1981</v>
      </c>
      <c r="N17" s="3">
        <f t="shared" si="2"/>
        <v>29877</v>
      </c>
      <c r="O17" s="3" t="str">
        <f t="shared" si="3"/>
        <v>18/10/1981</v>
      </c>
      <c r="P17" s="1">
        <f>IF(RIGHT(C17,1)="K", LEFT(C17,LEN(C17)-1)*1000,C17)</f>
        <v>57834</v>
      </c>
      <c r="Q17" s="1" t="str">
        <f>IF(LEFT(D17,1)="M","Male","Female")</f>
        <v>Male</v>
      </c>
      <c r="R17" s="1" t="str">
        <f>TRIM(E17)</f>
        <v>Production Technician I</v>
      </c>
      <c r="S17" s="1" t="str">
        <f>IF(G17="", "To be updated", IF(OR(G17="IT&amp;IS", G17="ITIS"), "IT/IS", G17))</f>
        <v xml:space="preserve">Production       </v>
      </c>
      <c r="T17" s="2">
        <f t="shared" si="0"/>
        <v>25</v>
      </c>
      <c r="U17" s="1">
        <f t="shared" si="1"/>
        <v>4</v>
      </c>
      <c r="V17" s="1">
        <f t="shared" ca="1" si="4"/>
        <v>43</v>
      </c>
    </row>
    <row r="18" spans="1:22" x14ac:dyDescent="0.25">
      <c r="A18" s="1">
        <v>10023</v>
      </c>
      <c r="B18" s="1" t="s">
        <v>78</v>
      </c>
      <c r="C18" s="1">
        <v>70131</v>
      </c>
      <c r="D18" s="1" t="s">
        <v>17</v>
      </c>
      <c r="E18" s="1" t="s">
        <v>18</v>
      </c>
      <c r="F18" s="1" t="s">
        <v>12</v>
      </c>
      <c r="G18" s="1" t="s">
        <v>13</v>
      </c>
      <c r="H18" s="1">
        <v>12</v>
      </c>
      <c r="I18" s="1" t="s">
        <v>66</v>
      </c>
      <c r="J18" s="1">
        <v>0</v>
      </c>
      <c r="M18" s="1" t="str">
        <f>SUBSTITUTE(TEXT(B18,"dd/mm/yyyy"),"-","/")</f>
        <v>04/17/1966</v>
      </c>
      <c r="N18" s="3">
        <f t="shared" si="2"/>
        <v>24214</v>
      </c>
      <c r="O18" s="3" t="str">
        <f t="shared" si="3"/>
        <v>17/04/1966</v>
      </c>
      <c r="P18" s="1">
        <f>IF(RIGHT(C18,1)="K", LEFT(C18,LEN(C18)-1)*1000,C18)</f>
        <v>70131</v>
      </c>
      <c r="Q18" s="1" t="str">
        <f>IF(LEFT(D18,1)="M","Male","Female")</f>
        <v>Female</v>
      </c>
      <c r="R18" s="1" t="str">
        <f>TRIM(E18)</f>
        <v>Production Technician II</v>
      </c>
      <c r="S18" s="1" t="str">
        <f>IF(G18="", "To be updated", IF(OR(G18="IT&amp;IS", G18="ITIS"), "IT/IS", G18))</f>
        <v xml:space="preserve">Production       </v>
      </c>
      <c r="T18" s="2">
        <f t="shared" si="0"/>
        <v>12</v>
      </c>
      <c r="U18" s="1">
        <f t="shared" si="1"/>
        <v>5</v>
      </c>
      <c r="V18" s="1">
        <f t="shared" ca="1" si="4"/>
        <v>59</v>
      </c>
    </row>
    <row r="19" spans="1:22" x14ac:dyDescent="0.25">
      <c r="A19" s="1">
        <v>10055</v>
      </c>
      <c r="B19" s="1" t="s">
        <v>79</v>
      </c>
      <c r="C19" s="1">
        <v>59026</v>
      </c>
      <c r="D19" s="1" t="s">
        <v>17</v>
      </c>
      <c r="E19" s="1" t="s">
        <v>11</v>
      </c>
      <c r="F19" s="1" t="s">
        <v>12</v>
      </c>
      <c r="G19" s="1" t="s">
        <v>13</v>
      </c>
      <c r="H19" s="1">
        <v>18</v>
      </c>
      <c r="I19" s="1">
        <v>5</v>
      </c>
      <c r="J19" s="1">
        <v>0</v>
      </c>
      <c r="M19" s="1" t="str">
        <f>SUBSTITUTE(TEXT(B19,"dd/mm/yyyy"),"-","/")</f>
        <v>10/27/1970</v>
      </c>
      <c r="N19" s="3">
        <f t="shared" si="2"/>
        <v>25868</v>
      </c>
      <c r="O19" s="3" t="str">
        <f t="shared" si="3"/>
        <v>27/10/1970</v>
      </c>
      <c r="P19" s="1">
        <f>IF(RIGHT(C19,1)="K", LEFT(C19,LEN(C19)-1)*1000,C19)</f>
        <v>59026</v>
      </c>
      <c r="Q19" s="1" t="str">
        <f>IF(LEFT(D19,1)="M","Male","Female")</f>
        <v>Female</v>
      </c>
      <c r="R19" s="1" t="str">
        <f>TRIM(E19)</f>
        <v>Production Technician I</v>
      </c>
      <c r="S19" s="1" t="str">
        <f>IF(G19="", "To be updated", IF(OR(G19="IT&amp;IS", G19="ITIS"), "IT/IS", G19))</f>
        <v xml:space="preserve">Production       </v>
      </c>
      <c r="T19" s="2">
        <f t="shared" si="0"/>
        <v>18</v>
      </c>
      <c r="U19" s="1">
        <f t="shared" si="1"/>
        <v>5</v>
      </c>
      <c r="V19" s="1">
        <f t="shared" ca="1" si="4"/>
        <v>54</v>
      </c>
    </row>
    <row r="20" spans="1:22" x14ac:dyDescent="0.25">
      <c r="A20" s="1">
        <v>10245</v>
      </c>
      <c r="B20" s="3">
        <v>31506</v>
      </c>
      <c r="C20" s="1">
        <v>110000</v>
      </c>
      <c r="D20" s="1" t="s">
        <v>19</v>
      </c>
      <c r="E20" s="1" t="s">
        <v>26</v>
      </c>
      <c r="F20" s="1" t="s">
        <v>25</v>
      </c>
      <c r="G20" s="1" t="s">
        <v>65</v>
      </c>
      <c r="H20" s="1">
        <v>13</v>
      </c>
      <c r="I20" s="1">
        <v>4</v>
      </c>
      <c r="J20" s="1">
        <v>5</v>
      </c>
      <c r="M20" s="1" t="str">
        <f>SUBSTITUTE(TEXT(B20,"dd/mm/yyyy"),"-","/")</f>
        <v>04/04/1986</v>
      </c>
      <c r="N20" s="3" t="str">
        <f t="shared" si="2"/>
        <v>04/04/1986</v>
      </c>
      <c r="O20" s="3" t="str">
        <f t="shared" si="3"/>
        <v>04/04/1986</v>
      </c>
      <c r="P20" s="1">
        <f>IF(RIGHT(C20,1)="K", LEFT(C20,LEN(C20)-1)*1000,C20)</f>
        <v>110000</v>
      </c>
      <c r="Q20" s="1" t="str">
        <f>IF(LEFT(D20,1)="M","Male","Female")</f>
        <v>Female</v>
      </c>
      <c r="R20" s="1" t="str">
        <f>TRIM(E20)</f>
        <v>Database Administrator</v>
      </c>
      <c r="S20" s="1" t="str">
        <f>IF(G20="", "To be updated", IF(OR(G20="IT&amp;IS", G20="ITIS"), "IT/IS", G20))</f>
        <v>IT/IS</v>
      </c>
      <c r="T20" s="2">
        <f t="shared" si="0"/>
        <v>13</v>
      </c>
      <c r="U20" s="1">
        <f t="shared" si="1"/>
        <v>4</v>
      </c>
      <c r="V20" s="1">
        <f t="shared" ca="1" si="4"/>
        <v>39</v>
      </c>
    </row>
    <row r="21" spans="1:22" x14ac:dyDescent="0.25">
      <c r="A21" s="1">
        <v>10277</v>
      </c>
      <c r="B21" s="3">
        <v>29010</v>
      </c>
      <c r="C21" s="1">
        <v>53250</v>
      </c>
      <c r="D21" s="1" t="s">
        <v>22</v>
      </c>
      <c r="E21" s="1" t="s">
        <v>11</v>
      </c>
      <c r="F21" s="1" t="s">
        <v>12</v>
      </c>
      <c r="G21" s="1" t="s">
        <v>13</v>
      </c>
      <c r="H21" s="1">
        <v>11</v>
      </c>
      <c r="I21" s="1">
        <v>4</v>
      </c>
      <c r="J21" s="1">
        <v>0</v>
      </c>
      <c r="M21" s="1" t="str">
        <f>SUBSTITUTE(TEXT(B21,"dd/mm/yyyy"),"-","/")</f>
        <v>04/06/1979</v>
      </c>
      <c r="N21" s="3" t="str">
        <f t="shared" si="2"/>
        <v>04/06/1979</v>
      </c>
      <c r="O21" s="3" t="str">
        <f t="shared" si="3"/>
        <v>04/06/1979</v>
      </c>
      <c r="P21" s="1">
        <f>IF(RIGHT(C21,1)="K", LEFT(C21,LEN(C21)-1)*1000,C21)</f>
        <v>53250</v>
      </c>
      <c r="Q21" s="1" t="str">
        <f>IF(LEFT(D21,1)="M","Male","Female")</f>
        <v>Male</v>
      </c>
      <c r="R21" s="1" t="str">
        <f>TRIM(E21)</f>
        <v>Production Technician I</v>
      </c>
      <c r="S21" s="1" t="str">
        <f>IF(G21="", "To be updated", IF(OR(G21="IT&amp;IS", G21="ITIS"), "IT/IS", G21))</f>
        <v xml:space="preserve">Production       </v>
      </c>
      <c r="T21" s="2">
        <f t="shared" si="0"/>
        <v>11</v>
      </c>
      <c r="U21" s="1">
        <f t="shared" si="1"/>
        <v>4</v>
      </c>
      <c r="V21" s="1">
        <f t="shared" ca="1" si="4"/>
        <v>46</v>
      </c>
    </row>
    <row r="22" spans="1:22" x14ac:dyDescent="0.25">
      <c r="A22" s="1">
        <v>10046</v>
      </c>
      <c r="B22" s="1" t="s">
        <v>80</v>
      </c>
      <c r="C22" s="1">
        <v>51044</v>
      </c>
      <c r="D22" s="1" t="s">
        <v>22</v>
      </c>
      <c r="E22" s="1" t="s">
        <v>11</v>
      </c>
      <c r="F22" s="1" t="s">
        <v>12</v>
      </c>
      <c r="G22" s="1" t="s">
        <v>13</v>
      </c>
      <c r="H22" s="1">
        <v>13</v>
      </c>
      <c r="I22" s="1">
        <v>3</v>
      </c>
      <c r="J22" s="1">
        <v>0</v>
      </c>
      <c r="M22" s="1" t="str">
        <f>SUBSTITUTE(TEXT(B22,"dd/mm/yyyy"),"-","/")</f>
        <v>12/22/1970</v>
      </c>
      <c r="N22" s="3">
        <f t="shared" si="2"/>
        <v>25924</v>
      </c>
      <c r="O22" s="3" t="str">
        <f t="shared" si="3"/>
        <v>22/12/1970</v>
      </c>
      <c r="P22" s="1">
        <f>IF(RIGHT(C22,1)="K", LEFT(C22,LEN(C22)-1)*1000,C22)</f>
        <v>51044</v>
      </c>
      <c r="Q22" s="1" t="str">
        <f>IF(LEFT(D22,1)="M","Male","Female")</f>
        <v>Male</v>
      </c>
      <c r="R22" s="1" t="str">
        <f>TRIM(E22)</f>
        <v>Production Technician I</v>
      </c>
      <c r="S22" s="1" t="str">
        <f>IF(G22="", "To be updated", IF(OR(G22="IT&amp;IS", G22="ITIS"), "IT/IS", G22))</f>
        <v xml:space="preserve">Production       </v>
      </c>
      <c r="T22" s="2">
        <f t="shared" si="0"/>
        <v>13</v>
      </c>
      <c r="U22" s="1">
        <f t="shared" si="1"/>
        <v>3</v>
      </c>
      <c r="V22" s="1">
        <f t="shared" ca="1" si="4"/>
        <v>54</v>
      </c>
    </row>
    <row r="23" spans="1:22" x14ac:dyDescent="0.25">
      <c r="A23" s="1">
        <v>10226</v>
      </c>
      <c r="B23" s="1" t="s">
        <v>81</v>
      </c>
      <c r="C23" s="1" t="s">
        <v>56</v>
      </c>
      <c r="D23" s="1" t="s">
        <v>17</v>
      </c>
      <c r="E23" s="1" t="s">
        <v>11</v>
      </c>
      <c r="F23" s="1" t="s">
        <v>12</v>
      </c>
      <c r="G23" s="1"/>
      <c r="H23" s="1">
        <v>19</v>
      </c>
      <c r="I23" s="1">
        <v>3</v>
      </c>
      <c r="J23" s="1">
        <v>0</v>
      </c>
      <c r="M23" s="1" t="str">
        <f>SUBSTITUTE(TEXT(B23,"dd/mm/yyyy"),"-","/")</f>
        <v>12/27/1958</v>
      </c>
      <c r="N23" s="3">
        <f t="shared" si="2"/>
        <v>21546</v>
      </c>
      <c r="O23" s="3" t="str">
        <f t="shared" si="3"/>
        <v>27/12/1958</v>
      </c>
      <c r="P23" s="1">
        <f>IF(RIGHT(C23,1)="K", LEFT(C23,LEN(C23)-1)*1000,C23)</f>
        <v>64000</v>
      </c>
      <c r="Q23" s="1" t="str">
        <f>IF(LEFT(D23,1)="M","Male","Female")</f>
        <v>Female</v>
      </c>
      <c r="R23" s="1" t="str">
        <f>TRIM(E23)</f>
        <v>Production Technician I</v>
      </c>
      <c r="S23" s="1" t="str">
        <f>IF(G23="", "To be updated", IF(OR(G23="IT&amp;IS", G23="ITIS"), "IT/IS", G23))</f>
        <v>To be updated</v>
      </c>
      <c r="T23" s="2">
        <f t="shared" si="0"/>
        <v>19</v>
      </c>
      <c r="U23" s="1">
        <f t="shared" si="1"/>
        <v>3</v>
      </c>
      <c r="V23" s="1">
        <f t="shared" ca="1" si="4"/>
        <v>66</v>
      </c>
    </row>
    <row r="24" spans="1:22" x14ac:dyDescent="0.25">
      <c r="A24" s="1">
        <v>10003</v>
      </c>
      <c r="B24" s="3">
        <v>32517</v>
      </c>
      <c r="C24" s="1" t="s">
        <v>57</v>
      </c>
      <c r="D24" s="1" t="s">
        <v>17</v>
      </c>
      <c r="E24" s="1" t="s">
        <v>11</v>
      </c>
      <c r="F24" s="1" t="s">
        <v>12</v>
      </c>
      <c r="G24" s="1"/>
      <c r="H24" s="1">
        <v>15</v>
      </c>
      <c r="I24" s="1">
        <v>3</v>
      </c>
      <c r="J24" s="1">
        <v>0</v>
      </c>
      <c r="M24" s="1" t="str">
        <f>SUBSTITUTE(TEXT(B24,"dd/mm/yyyy"),"-","/")</f>
        <v>09/01/1989</v>
      </c>
      <c r="N24" s="3" t="str">
        <f t="shared" si="2"/>
        <v>09/01/1989</v>
      </c>
      <c r="O24" s="3" t="str">
        <f t="shared" si="3"/>
        <v>09/01/1989</v>
      </c>
      <c r="P24" s="1">
        <f>IF(RIGHT(C24,1)="K", LEFT(C24,LEN(C24)-1)*1000,C24)</f>
        <v>62000</v>
      </c>
      <c r="Q24" s="1" t="str">
        <f>IF(LEFT(D24,1)="M","Male","Female")</f>
        <v>Female</v>
      </c>
      <c r="R24" s="1" t="str">
        <f>TRIM(E24)</f>
        <v>Production Technician I</v>
      </c>
      <c r="S24" s="1" t="str">
        <f>IF(G24="", "To be updated", IF(OR(G24="IT&amp;IS", G24="ITIS"), "IT/IS", G24))</f>
        <v>To be updated</v>
      </c>
      <c r="T24" s="2">
        <f t="shared" si="0"/>
        <v>15</v>
      </c>
      <c r="U24" s="1">
        <f t="shared" si="1"/>
        <v>3</v>
      </c>
      <c r="V24" s="1">
        <f t="shared" ca="1" si="4"/>
        <v>36</v>
      </c>
    </row>
    <row r="25" spans="1:22" x14ac:dyDescent="0.25">
      <c r="A25" s="1">
        <v>10294</v>
      </c>
      <c r="B25" s="1" t="s">
        <v>82</v>
      </c>
      <c r="C25" s="1">
        <v>66441</v>
      </c>
      <c r="D25" s="1" t="s">
        <v>17</v>
      </c>
      <c r="E25" s="1" t="s">
        <v>18</v>
      </c>
      <c r="F25" s="1" t="s">
        <v>12</v>
      </c>
      <c r="G25" s="1" t="s">
        <v>13</v>
      </c>
      <c r="H25" s="1">
        <v>14</v>
      </c>
      <c r="I25" s="1">
        <v>3</v>
      </c>
      <c r="J25" s="1">
        <v>0</v>
      </c>
      <c r="M25" s="1" t="str">
        <f>SUBSTITUTE(TEXT(B25,"dd/mm/yyyy"),"-","/")</f>
        <v>09/21/1990</v>
      </c>
      <c r="N25" s="3">
        <f t="shared" si="2"/>
        <v>33137</v>
      </c>
      <c r="O25" s="3" t="str">
        <f t="shared" si="3"/>
        <v>21/09/1990</v>
      </c>
      <c r="P25" s="1">
        <f>IF(RIGHT(C25,1)="K", LEFT(C25,LEN(C25)-1)*1000,C25)</f>
        <v>66441</v>
      </c>
      <c r="Q25" s="1" t="str">
        <f>IF(LEFT(D25,1)="M","Male","Female")</f>
        <v>Female</v>
      </c>
      <c r="R25" s="1" t="str">
        <f>TRIM(E25)</f>
        <v>Production Technician II</v>
      </c>
      <c r="S25" s="1" t="str">
        <f>IF(G25="", "To be updated", IF(OR(G25="IT&amp;IS", G25="ITIS"), "IT/IS", G25))</f>
        <v xml:space="preserve">Production       </v>
      </c>
      <c r="T25" s="2">
        <f t="shared" si="0"/>
        <v>14</v>
      </c>
      <c r="U25" s="1">
        <f t="shared" si="1"/>
        <v>3</v>
      </c>
      <c r="V25" s="1">
        <f t="shared" ca="1" si="4"/>
        <v>35</v>
      </c>
    </row>
    <row r="26" spans="1:22" x14ac:dyDescent="0.25">
      <c r="A26" s="1">
        <v>10267</v>
      </c>
      <c r="B26" s="1" t="s">
        <v>83</v>
      </c>
      <c r="C26" s="1">
        <v>57815</v>
      </c>
      <c r="D26" s="1" t="s">
        <v>17</v>
      </c>
      <c r="E26" s="1" t="s">
        <v>18</v>
      </c>
      <c r="F26" s="1" t="s">
        <v>15</v>
      </c>
      <c r="G26" s="1" t="s">
        <v>13</v>
      </c>
      <c r="H26" s="1">
        <v>12</v>
      </c>
      <c r="I26" s="1">
        <v>5</v>
      </c>
      <c r="J26" s="1">
        <v>0</v>
      </c>
      <c r="M26" s="1" t="str">
        <f>SUBSTITUTE(TEXT(B26,"dd/mm/yyyy"),"-","/")</f>
        <v>01/16/1967</v>
      </c>
      <c r="N26" s="3">
        <f t="shared" si="2"/>
        <v>24488</v>
      </c>
      <c r="O26" s="3" t="str">
        <f t="shared" si="3"/>
        <v>16/01/1967</v>
      </c>
      <c r="P26" s="1">
        <f>IF(RIGHT(C26,1)="K", LEFT(C26,LEN(C26)-1)*1000,C26)</f>
        <v>57815</v>
      </c>
      <c r="Q26" s="1" t="str">
        <f>IF(LEFT(D26,1)="M","Male","Female")</f>
        <v>Female</v>
      </c>
      <c r="R26" s="1" t="str">
        <f>TRIM(E26)</f>
        <v>Production Technician II</v>
      </c>
      <c r="S26" s="1" t="str">
        <f>IF(G26="", "To be updated", IF(OR(G26="IT&amp;IS", G26="ITIS"), "IT/IS", G26))</f>
        <v xml:space="preserve">Production       </v>
      </c>
      <c r="T26" s="2">
        <f t="shared" si="0"/>
        <v>12</v>
      </c>
      <c r="U26" s="1">
        <f t="shared" si="1"/>
        <v>5</v>
      </c>
      <c r="V26" s="1">
        <f t="shared" ca="1" si="4"/>
        <v>58</v>
      </c>
    </row>
    <row r="27" spans="1:22" x14ac:dyDescent="0.25">
      <c r="A27" s="1">
        <v>10199</v>
      </c>
      <c r="B27" s="1" t="s">
        <v>84</v>
      </c>
      <c r="C27" s="1">
        <v>103613</v>
      </c>
      <c r="D27" s="1" t="s">
        <v>22</v>
      </c>
      <c r="E27" s="1" t="s">
        <v>27</v>
      </c>
      <c r="F27" s="1" t="s">
        <v>25</v>
      </c>
      <c r="G27" s="1" t="s">
        <v>16</v>
      </c>
      <c r="H27" s="1">
        <v>17</v>
      </c>
      <c r="I27" s="1">
        <v>5</v>
      </c>
      <c r="J27" s="1">
        <v>7</v>
      </c>
      <c r="M27" s="1" t="str">
        <f>SUBSTITUTE(TEXT(B27,"dd/mm/yyyy"),"-","/")</f>
        <v>07/30/1964</v>
      </c>
      <c r="N27" s="3">
        <f t="shared" si="2"/>
        <v>23588</v>
      </c>
      <c r="O27" s="3" t="str">
        <f t="shared" si="3"/>
        <v>30/07/1964</v>
      </c>
      <c r="P27" s="1">
        <f>IF(RIGHT(C27,1)="K", LEFT(C27,LEN(C27)-1)*1000,C27)</f>
        <v>103613</v>
      </c>
      <c r="Q27" s="1" t="str">
        <f>IF(LEFT(D27,1)="M","Male","Female")</f>
        <v>Male</v>
      </c>
      <c r="R27" s="1" t="str">
        <f>TRIM(E27)</f>
        <v>Enterprise Architect</v>
      </c>
      <c r="S27" s="1" t="str">
        <f>IF(G27="", "To be updated", IF(OR(G27="IT&amp;IS", G27="ITIS"), "IT/IS", G27))</f>
        <v>IT/IS</v>
      </c>
      <c r="T27" s="2">
        <f t="shared" si="0"/>
        <v>17</v>
      </c>
      <c r="U27" s="1">
        <f t="shared" si="1"/>
        <v>5</v>
      </c>
      <c r="V27" s="1">
        <f t="shared" ca="1" si="4"/>
        <v>61</v>
      </c>
    </row>
    <row r="28" spans="1:22" x14ac:dyDescent="0.25">
      <c r="A28" s="1">
        <v>10081</v>
      </c>
      <c r="B28" s="3">
        <v>31871</v>
      </c>
      <c r="C28" s="1">
        <v>106367</v>
      </c>
      <c r="D28" s="1" t="s">
        <v>17</v>
      </c>
      <c r="E28" s="1" t="s">
        <v>28</v>
      </c>
      <c r="F28" s="1" t="s">
        <v>12</v>
      </c>
      <c r="G28" s="1" t="s">
        <v>29</v>
      </c>
      <c r="H28" s="1">
        <v>19</v>
      </c>
      <c r="I28" s="1">
        <v>4</v>
      </c>
      <c r="J28" s="1">
        <v>3</v>
      </c>
      <c r="M28" s="1" t="str">
        <f>SUBSTITUTE(TEXT(B28,"dd/mm/yyyy"),"-","/")</f>
        <v>04/04/1987</v>
      </c>
      <c r="N28" s="3" t="str">
        <f t="shared" si="2"/>
        <v>04/04/1987</v>
      </c>
      <c r="O28" s="3" t="str">
        <f t="shared" si="3"/>
        <v>04/04/1987</v>
      </c>
      <c r="P28" s="1">
        <f>IF(RIGHT(C28,1)="K", LEFT(C28,LEN(C28)-1)*1000,C28)</f>
        <v>106367</v>
      </c>
      <c r="Q28" s="1" t="str">
        <f>IF(LEFT(D28,1)="M","Male","Female")</f>
        <v>Female</v>
      </c>
      <c r="R28" s="1" t="str">
        <f>TRIM(E28)</f>
        <v>Sr. Accountant</v>
      </c>
      <c r="S28" s="1" t="str">
        <f>IF(G28="", "To be updated", IF(OR(G28="IT&amp;IS", G28="ITIS"), "IT/IS", G28))</f>
        <v>Admin Offices</v>
      </c>
      <c r="T28" s="2">
        <f t="shared" si="0"/>
        <v>19</v>
      </c>
      <c r="U28" s="1">
        <f t="shared" si="1"/>
        <v>4</v>
      </c>
      <c r="V28" s="1">
        <f t="shared" ca="1" si="4"/>
        <v>38</v>
      </c>
    </row>
    <row r="29" spans="1:22" x14ac:dyDescent="0.25">
      <c r="A29" s="1">
        <v>10175</v>
      </c>
      <c r="B29" s="3">
        <v>25844</v>
      </c>
      <c r="C29" s="1">
        <v>74312</v>
      </c>
      <c r="D29" s="1" t="s">
        <v>22</v>
      </c>
      <c r="E29" s="1" t="s">
        <v>30</v>
      </c>
      <c r="F29" s="1" t="s">
        <v>15</v>
      </c>
      <c r="G29" s="1" t="s">
        <v>13</v>
      </c>
      <c r="H29" s="1">
        <v>11</v>
      </c>
      <c r="I29" s="1">
        <v>3</v>
      </c>
      <c r="J29" s="1">
        <v>0</v>
      </c>
      <c r="M29" s="1" t="str">
        <f>SUBSTITUTE(TEXT(B29,"dd/mm/yyyy"),"-","/")</f>
        <v>03/10/1970</v>
      </c>
      <c r="N29" s="3" t="str">
        <f t="shared" si="2"/>
        <v>03/10/1970</v>
      </c>
      <c r="O29" s="3" t="str">
        <f t="shared" si="3"/>
        <v>03/10/1970</v>
      </c>
      <c r="P29" s="1">
        <f>IF(RIGHT(C29,1)="K", LEFT(C29,LEN(C29)-1)*1000,C29)</f>
        <v>74312</v>
      </c>
      <c r="Q29" s="1" t="str">
        <f>IF(LEFT(D29,1)="M","Male","Female")</f>
        <v>Male</v>
      </c>
      <c r="R29" s="1" t="str">
        <f>TRIM(E29)</f>
        <v>Production Manager</v>
      </c>
      <c r="S29" s="1" t="str">
        <f>IF(G29="", "To be updated", IF(OR(G29="IT&amp;IS", G29="ITIS"), "IT/IS", G29))</f>
        <v xml:space="preserve">Production       </v>
      </c>
      <c r="T29" s="2">
        <f t="shared" si="0"/>
        <v>11</v>
      </c>
      <c r="U29" s="1">
        <f t="shared" si="1"/>
        <v>3</v>
      </c>
      <c r="V29" s="1">
        <f t="shared" ca="1" si="4"/>
        <v>54</v>
      </c>
    </row>
    <row r="30" spans="1:22" x14ac:dyDescent="0.25">
      <c r="A30" s="1">
        <v>10177</v>
      </c>
      <c r="B30" s="1" t="s">
        <v>85</v>
      </c>
      <c r="C30" s="1">
        <v>53492</v>
      </c>
      <c r="D30" s="1" t="s">
        <v>17</v>
      </c>
      <c r="E30" s="1" t="s">
        <v>11</v>
      </c>
      <c r="F30" s="1" t="s">
        <v>15</v>
      </c>
      <c r="G30" s="1" t="s">
        <v>13</v>
      </c>
      <c r="H30" s="1">
        <v>14</v>
      </c>
      <c r="I30" s="1">
        <v>4</v>
      </c>
      <c r="J30" s="1">
        <v>0</v>
      </c>
      <c r="M30" s="1" t="str">
        <f>SUBSTITUTE(TEXT(B30,"dd/mm/yyyy"),"-","/")</f>
        <v>08/24/1990</v>
      </c>
      <c r="N30" s="3">
        <f t="shared" si="2"/>
        <v>33109</v>
      </c>
      <c r="O30" s="3" t="str">
        <f t="shared" si="3"/>
        <v>24/08/1990</v>
      </c>
      <c r="P30" s="1">
        <f>IF(RIGHT(C30,1)="K", LEFT(C30,LEN(C30)-1)*1000,C30)</f>
        <v>53492</v>
      </c>
      <c r="Q30" s="1" t="str">
        <f>IF(LEFT(D30,1)="M","Male","Female")</f>
        <v>Female</v>
      </c>
      <c r="R30" s="1" t="str">
        <f>TRIM(E30)</f>
        <v>Production Technician I</v>
      </c>
      <c r="S30" s="1" t="str">
        <f>IF(G30="", "To be updated", IF(OR(G30="IT&amp;IS", G30="ITIS"), "IT/IS", G30))</f>
        <v xml:space="preserve">Production       </v>
      </c>
      <c r="T30" s="2">
        <f t="shared" si="0"/>
        <v>14</v>
      </c>
      <c r="U30" s="1">
        <f t="shared" si="1"/>
        <v>4</v>
      </c>
      <c r="V30" s="1">
        <f t="shared" ca="1" si="4"/>
        <v>35</v>
      </c>
    </row>
    <row r="31" spans="1:22" x14ac:dyDescent="0.25">
      <c r="A31" s="1">
        <v>10238</v>
      </c>
      <c r="B31" s="1" t="s">
        <v>86</v>
      </c>
      <c r="C31" s="1">
        <v>63000</v>
      </c>
      <c r="D31" s="1" t="s">
        <v>17</v>
      </c>
      <c r="E31" s="1" t="s">
        <v>31</v>
      </c>
      <c r="F31" s="1" t="s">
        <v>12</v>
      </c>
      <c r="G31" s="1" t="s">
        <v>29</v>
      </c>
      <c r="H31" s="1">
        <v>17</v>
      </c>
      <c r="I31" s="1">
        <v>2</v>
      </c>
      <c r="J31" s="1">
        <v>6</v>
      </c>
      <c r="M31" s="1" t="str">
        <f>SUBSTITUTE(TEXT(B31,"dd/mm/yyyy"),"-","/")</f>
        <v>11/24/1987</v>
      </c>
      <c r="N31" s="3">
        <f t="shared" si="2"/>
        <v>32105</v>
      </c>
      <c r="O31" s="3" t="str">
        <f t="shared" si="3"/>
        <v>24/11/1987</v>
      </c>
      <c r="P31" s="1">
        <f>IF(RIGHT(C31,1)="K", LEFT(C31,LEN(C31)-1)*1000,C31)</f>
        <v>63000</v>
      </c>
      <c r="Q31" s="1" t="str">
        <f>IF(LEFT(D31,1)="M","Male","Female")</f>
        <v>Female</v>
      </c>
      <c r="R31" s="1" t="str">
        <f>TRIM(E31)</f>
        <v>Accountant I</v>
      </c>
      <c r="S31" s="1" t="str">
        <f>IF(G31="", "To be updated", IF(OR(G31="IT&amp;IS", G31="ITIS"), "IT/IS", G31))</f>
        <v>Admin Offices</v>
      </c>
      <c r="T31" s="2">
        <f t="shared" si="0"/>
        <v>17</v>
      </c>
      <c r="U31" s="1">
        <f t="shared" si="1"/>
        <v>2</v>
      </c>
      <c r="V31" s="1">
        <f t="shared" ca="1" si="4"/>
        <v>37</v>
      </c>
    </row>
    <row r="32" spans="1:22" x14ac:dyDescent="0.25">
      <c r="A32" s="1">
        <v>10184</v>
      </c>
      <c r="B32" s="1" t="s">
        <v>87</v>
      </c>
      <c r="C32" s="1">
        <v>65288</v>
      </c>
      <c r="D32" s="1" t="s">
        <v>22</v>
      </c>
      <c r="E32" s="1" t="s">
        <v>18</v>
      </c>
      <c r="F32" s="1" t="s">
        <v>12</v>
      </c>
      <c r="G32" s="1" t="s">
        <v>65</v>
      </c>
      <c r="H32" s="1">
        <v>11</v>
      </c>
      <c r="I32" s="1">
        <v>3</v>
      </c>
      <c r="J32" s="1">
        <v>0</v>
      </c>
      <c r="M32" s="1" t="str">
        <f>SUBSTITUTE(TEXT(B32,"dd/mm/yyyy"),"-","/")</f>
        <v>07/28/1983</v>
      </c>
      <c r="N32" s="3">
        <f t="shared" si="2"/>
        <v>30525</v>
      </c>
      <c r="O32" s="3" t="str">
        <f t="shared" si="3"/>
        <v>28/07/1983</v>
      </c>
      <c r="P32" s="1">
        <f>IF(RIGHT(C32,1)="K", LEFT(C32,LEN(C32)-1)*1000,C32)</f>
        <v>65288</v>
      </c>
      <c r="Q32" s="1" t="str">
        <f>IF(LEFT(D32,1)="M","Male","Female")</f>
        <v>Male</v>
      </c>
      <c r="R32" s="1" t="str">
        <f>TRIM(E32)</f>
        <v>Production Technician II</v>
      </c>
      <c r="S32" s="1" t="str">
        <f>IF(G32="", "To be updated", IF(OR(G32="IT&amp;IS", G32="ITIS"), "IT/IS", G32))</f>
        <v>IT/IS</v>
      </c>
      <c r="T32" s="2">
        <f t="shared" si="0"/>
        <v>11</v>
      </c>
      <c r="U32" s="1">
        <f t="shared" si="1"/>
        <v>3</v>
      </c>
      <c r="V32" s="1">
        <f t="shared" ca="1" si="4"/>
        <v>42</v>
      </c>
    </row>
    <row r="33" spans="1:22" x14ac:dyDescent="0.25">
      <c r="A33" s="1">
        <v>10203</v>
      </c>
      <c r="B33" s="1" t="s">
        <v>88</v>
      </c>
      <c r="C33" s="1">
        <v>64375</v>
      </c>
      <c r="D33" s="1" t="s">
        <v>17</v>
      </c>
      <c r="E33" s="1" t="s">
        <v>11</v>
      </c>
      <c r="F33" s="1" t="s">
        <v>12</v>
      </c>
      <c r="G33" s="1" t="s">
        <v>13</v>
      </c>
      <c r="H33" s="1">
        <v>24</v>
      </c>
      <c r="I33" s="1">
        <v>5</v>
      </c>
      <c r="J33" s="1">
        <v>0</v>
      </c>
      <c r="M33" s="1" t="str">
        <f>SUBSTITUTE(TEXT(B33,"dd/mm/yyyy"),"-","/")</f>
        <v>10/30/1969</v>
      </c>
      <c r="N33" s="3">
        <f t="shared" si="2"/>
        <v>25506</v>
      </c>
      <c r="O33" s="3" t="str">
        <f t="shared" si="3"/>
        <v>30/10/1969</v>
      </c>
      <c r="P33" s="1">
        <f>IF(RIGHT(C33,1)="K", LEFT(C33,LEN(C33)-1)*1000,C33)</f>
        <v>64375</v>
      </c>
      <c r="Q33" s="1" t="str">
        <f>IF(LEFT(D33,1)="M","Male","Female")</f>
        <v>Female</v>
      </c>
      <c r="R33" s="1" t="str">
        <f>TRIM(E33)</f>
        <v>Production Technician I</v>
      </c>
      <c r="S33" s="1" t="str">
        <f>IF(G33="", "To be updated", IF(OR(G33="IT&amp;IS", G33="ITIS"), "IT/IS", G33))</f>
        <v xml:space="preserve">Production       </v>
      </c>
      <c r="T33" s="2">
        <f t="shared" si="0"/>
        <v>24</v>
      </c>
      <c r="U33" s="1">
        <f t="shared" si="1"/>
        <v>5</v>
      </c>
      <c r="V33" s="1">
        <f t="shared" ca="1" si="4"/>
        <v>55</v>
      </c>
    </row>
    <row r="34" spans="1:22" x14ac:dyDescent="0.25">
      <c r="A34" s="1">
        <v>10188</v>
      </c>
      <c r="B34" s="3">
        <v>23382</v>
      </c>
      <c r="C34" s="1">
        <v>74326</v>
      </c>
      <c r="D34" s="1" t="s">
        <v>17</v>
      </c>
      <c r="E34" s="1" t="s">
        <v>32</v>
      </c>
      <c r="F34" s="1" t="s">
        <v>15</v>
      </c>
      <c r="G34" s="1" t="s">
        <v>33</v>
      </c>
      <c r="H34" s="1">
        <v>15</v>
      </c>
      <c r="I34" s="1">
        <v>5</v>
      </c>
      <c r="J34" s="1">
        <v>0</v>
      </c>
      <c r="M34" s="1" t="str">
        <f>SUBSTITUTE(TEXT(B34,"dd/mm/yyyy"),"-","/")</f>
        <v>06/01/1964</v>
      </c>
      <c r="N34" s="3" t="str">
        <f t="shared" si="2"/>
        <v>06/01/1964</v>
      </c>
      <c r="O34" s="3" t="str">
        <f t="shared" si="3"/>
        <v>06/01/1964</v>
      </c>
      <c r="P34" s="1">
        <f>IF(RIGHT(C34,1)="K", LEFT(C34,LEN(C34)-1)*1000,C34)</f>
        <v>74326</v>
      </c>
      <c r="Q34" s="1" t="str">
        <f>IF(LEFT(D34,1)="M","Male","Female")</f>
        <v>Female</v>
      </c>
      <c r="R34" s="1" t="str">
        <f>TRIM(E34)</f>
        <v>Area Sales Manager</v>
      </c>
      <c r="S34" s="1" t="str">
        <f>IF(G34="", "To be updated", IF(OR(G34="IT&amp;IS", G34="ITIS"), "IT/IS", G34))</f>
        <v>Sales</v>
      </c>
      <c r="T34" s="2">
        <f t="shared" si="0"/>
        <v>15</v>
      </c>
      <c r="U34" s="1">
        <f t="shared" si="1"/>
        <v>5</v>
      </c>
      <c r="V34" s="1">
        <f t="shared" ca="1" si="4"/>
        <v>61</v>
      </c>
    </row>
    <row r="35" spans="1:22" x14ac:dyDescent="0.25">
      <c r="A35" s="1">
        <v>10107</v>
      </c>
      <c r="B35" s="3">
        <v>29254</v>
      </c>
      <c r="C35" s="1">
        <v>63763</v>
      </c>
      <c r="D35" s="1" t="s">
        <v>17</v>
      </c>
      <c r="E35" s="1" t="s">
        <v>18</v>
      </c>
      <c r="F35" s="1" t="s">
        <v>12</v>
      </c>
      <c r="G35" s="1" t="s">
        <v>13</v>
      </c>
      <c r="H35" s="1">
        <v>11</v>
      </c>
      <c r="I35" s="1">
        <v>4</v>
      </c>
      <c r="J35" s="1">
        <v>0</v>
      </c>
      <c r="M35" s="1" t="str">
        <f>SUBSTITUTE(TEXT(B35,"dd/mm/yyyy"),"-","/")</f>
        <v>03/02/1980</v>
      </c>
      <c r="N35" s="3" t="str">
        <f t="shared" si="2"/>
        <v>03/02/1980</v>
      </c>
      <c r="O35" s="3" t="str">
        <f t="shared" si="3"/>
        <v>03/02/1980</v>
      </c>
      <c r="P35" s="1">
        <f>IF(RIGHT(C35,1)="K", LEFT(C35,LEN(C35)-1)*1000,C35)</f>
        <v>63763</v>
      </c>
      <c r="Q35" s="1" t="str">
        <f>IF(LEFT(D35,1)="M","Male","Female")</f>
        <v>Female</v>
      </c>
      <c r="R35" s="1" t="str">
        <f>TRIM(E35)</f>
        <v>Production Technician II</v>
      </c>
      <c r="S35" s="1" t="str">
        <f>IF(G35="", "To be updated", IF(OR(G35="IT&amp;IS", G35="ITIS"), "IT/IS", G35))</f>
        <v xml:space="preserve">Production       </v>
      </c>
      <c r="T35" s="2">
        <f t="shared" si="0"/>
        <v>11</v>
      </c>
      <c r="U35" s="1">
        <f t="shared" si="1"/>
        <v>4</v>
      </c>
      <c r="V35" s="1">
        <f t="shared" ca="1" si="4"/>
        <v>45</v>
      </c>
    </row>
    <row r="36" spans="1:22" x14ac:dyDescent="0.25">
      <c r="A36" s="1">
        <v>10181</v>
      </c>
      <c r="B36" s="1" t="s">
        <v>89</v>
      </c>
      <c r="C36" s="1">
        <v>62162</v>
      </c>
      <c r="D36" s="1" t="s">
        <v>22</v>
      </c>
      <c r="E36" s="1" t="s">
        <v>18</v>
      </c>
      <c r="F36" s="1" t="s">
        <v>12</v>
      </c>
      <c r="G36" s="1" t="s">
        <v>13</v>
      </c>
      <c r="H36" s="1">
        <v>19</v>
      </c>
      <c r="I36" s="1">
        <v>5</v>
      </c>
      <c r="J36" s="1">
        <v>0</v>
      </c>
      <c r="M36" s="1" t="str">
        <f>SUBSTITUTE(TEXT(B36,"dd/mm/yyyy"),"-","/")</f>
        <v>08/19/1977</v>
      </c>
      <c r="N36" s="3">
        <f t="shared" si="2"/>
        <v>28356</v>
      </c>
      <c r="O36" s="3" t="str">
        <f t="shared" si="3"/>
        <v>19/08/1977</v>
      </c>
      <c r="P36" s="1">
        <f>IF(RIGHT(C36,1)="K", LEFT(C36,LEN(C36)-1)*1000,C36)</f>
        <v>62162</v>
      </c>
      <c r="Q36" s="1" t="str">
        <f>IF(LEFT(D36,1)="M","Male","Female")</f>
        <v>Male</v>
      </c>
      <c r="R36" s="1" t="str">
        <f>TRIM(E36)</f>
        <v>Production Technician II</v>
      </c>
      <c r="S36" s="1" t="str">
        <f>IF(G36="", "To be updated", IF(OR(G36="IT&amp;IS", G36="ITIS"), "IT/IS", G36))</f>
        <v xml:space="preserve">Production       </v>
      </c>
      <c r="T36" s="2">
        <f t="shared" si="0"/>
        <v>19</v>
      </c>
      <c r="U36" s="1">
        <f t="shared" si="1"/>
        <v>5</v>
      </c>
      <c r="V36" s="1">
        <f t="shared" ca="1" si="4"/>
        <v>48</v>
      </c>
    </row>
    <row r="37" spans="1:22" x14ac:dyDescent="0.25">
      <c r="A37" s="1">
        <v>10150</v>
      </c>
      <c r="B37" s="1" t="s">
        <v>90</v>
      </c>
      <c r="C37" s="1">
        <v>77692</v>
      </c>
      <c r="D37" s="1" t="s">
        <v>22</v>
      </c>
      <c r="E37" s="1" t="s">
        <v>34</v>
      </c>
      <c r="F37" s="1" t="s">
        <v>12</v>
      </c>
      <c r="G37" s="1" t="s">
        <v>21</v>
      </c>
      <c r="H37" s="1">
        <v>13</v>
      </c>
      <c r="I37" s="1">
        <v>3</v>
      </c>
      <c r="J37" s="1">
        <v>5</v>
      </c>
      <c r="M37" s="1" t="str">
        <f>SUBSTITUTE(TEXT(B37,"dd/mm/yyyy"),"-","/")</f>
        <v>11/22/1966</v>
      </c>
      <c r="N37" s="3">
        <f t="shared" si="2"/>
        <v>24433</v>
      </c>
      <c r="O37" s="3" t="str">
        <f t="shared" si="3"/>
        <v>22/11/1966</v>
      </c>
      <c r="P37" s="1">
        <f>IF(RIGHT(C37,1)="K", LEFT(C37,LEN(C37)-1)*1000,C37)</f>
        <v>77692</v>
      </c>
      <c r="Q37" s="1" t="str">
        <f>IF(LEFT(D37,1)="M","Male","Female")</f>
        <v>Male</v>
      </c>
      <c r="R37" s="1" t="str">
        <f>TRIM(E37)</f>
        <v>Software Engineering Manager</v>
      </c>
      <c r="S37" s="1" t="str">
        <f>IF(G37="", "To be updated", IF(OR(G37="IT&amp;IS", G37="ITIS"), "IT/IS", G37))</f>
        <v>Software Engineering</v>
      </c>
      <c r="T37" s="2">
        <f t="shared" si="0"/>
        <v>13</v>
      </c>
      <c r="U37" s="1">
        <f t="shared" si="1"/>
        <v>3</v>
      </c>
      <c r="V37" s="1">
        <f t="shared" ca="1" si="4"/>
        <v>58</v>
      </c>
    </row>
    <row r="38" spans="1:22" x14ac:dyDescent="0.25">
      <c r="A38" s="1">
        <v>10001</v>
      </c>
      <c r="B38" s="3">
        <v>30567</v>
      </c>
      <c r="C38" s="1">
        <v>72640</v>
      </c>
      <c r="D38" s="1" t="s">
        <v>22</v>
      </c>
      <c r="E38" s="1" t="s">
        <v>30</v>
      </c>
      <c r="F38" s="1" t="s">
        <v>12</v>
      </c>
      <c r="G38" s="1" t="s">
        <v>13</v>
      </c>
      <c r="H38" s="1">
        <v>11</v>
      </c>
      <c r="I38" s="1">
        <v>3</v>
      </c>
      <c r="J38" s="1">
        <v>0</v>
      </c>
      <c r="M38" s="1" t="str">
        <f>SUBSTITUTE(TEXT(B38,"dd/mm/yyyy"),"-","/")</f>
        <v>08/09/1983</v>
      </c>
      <c r="N38" s="3" t="str">
        <f t="shared" si="2"/>
        <v>08/09/1983</v>
      </c>
      <c r="O38" s="3" t="str">
        <f t="shared" si="3"/>
        <v>08/09/1983</v>
      </c>
      <c r="P38" s="1">
        <f>IF(RIGHT(C38,1)="K", LEFT(C38,LEN(C38)-1)*1000,C38)</f>
        <v>72640</v>
      </c>
      <c r="Q38" s="1" t="str">
        <f>IF(LEFT(D38,1)="M","Male","Female")</f>
        <v>Male</v>
      </c>
      <c r="R38" s="1" t="str">
        <f>TRIM(E38)</f>
        <v>Production Manager</v>
      </c>
      <c r="S38" s="1" t="str">
        <f>IF(G38="", "To be updated", IF(OR(G38="IT&amp;IS", G38="ITIS"), "IT/IS", G38))</f>
        <v xml:space="preserve">Production       </v>
      </c>
      <c r="T38" s="2">
        <f t="shared" si="0"/>
        <v>11</v>
      </c>
      <c r="U38" s="1">
        <f t="shared" si="1"/>
        <v>3</v>
      </c>
      <c r="V38" s="1">
        <f t="shared" ca="1" si="4"/>
        <v>42</v>
      </c>
    </row>
    <row r="39" spans="1:22" x14ac:dyDescent="0.25">
      <c r="A39" s="1">
        <v>10085</v>
      </c>
      <c r="B39" s="3">
        <v>31901</v>
      </c>
      <c r="C39" s="1">
        <v>93396</v>
      </c>
      <c r="D39" s="1" t="s">
        <v>17</v>
      </c>
      <c r="E39" s="1" t="s">
        <v>20</v>
      </c>
      <c r="F39" s="1" t="s">
        <v>12</v>
      </c>
      <c r="G39" s="1" t="s">
        <v>21</v>
      </c>
      <c r="H39" s="1">
        <v>20</v>
      </c>
      <c r="I39" s="1">
        <v>4</v>
      </c>
      <c r="J39" s="1">
        <v>6</v>
      </c>
      <c r="M39" s="1" t="str">
        <f>SUBSTITUTE(TEXT(B39,"dd/mm/yyyy"),"-","/")</f>
        <v>04/05/1987</v>
      </c>
      <c r="N39" s="3" t="str">
        <f t="shared" si="2"/>
        <v>04/05/1987</v>
      </c>
      <c r="O39" s="3" t="str">
        <f t="shared" si="3"/>
        <v>04/05/1987</v>
      </c>
      <c r="P39" s="1">
        <f>IF(RIGHT(C39,1)="K", LEFT(C39,LEN(C39)-1)*1000,C39)</f>
        <v>93396</v>
      </c>
      <c r="Q39" s="1" t="str">
        <f>IF(LEFT(D39,1)="M","Male","Female")</f>
        <v>Female</v>
      </c>
      <c r="R39" s="1" t="str">
        <f>TRIM(E39)</f>
        <v>Software Engineer</v>
      </c>
      <c r="S39" s="1" t="str">
        <f>IF(G39="", "To be updated", IF(OR(G39="IT&amp;IS", G39="ITIS"), "IT/IS", G39))</f>
        <v>Software Engineering</v>
      </c>
      <c r="T39" s="2">
        <f t="shared" si="0"/>
        <v>20</v>
      </c>
      <c r="U39" s="1">
        <f t="shared" si="1"/>
        <v>4</v>
      </c>
      <c r="V39" s="1">
        <f t="shared" ca="1" si="4"/>
        <v>38</v>
      </c>
    </row>
    <row r="40" spans="1:22" x14ac:dyDescent="0.25">
      <c r="A40" s="1">
        <v>10115</v>
      </c>
      <c r="B40" s="3">
        <v>30349</v>
      </c>
      <c r="C40" s="1">
        <v>52846</v>
      </c>
      <c r="D40" s="1" t="s">
        <v>10</v>
      </c>
      <c r="E40" s="1" t="s">
        <v>11</v>
      </c>
      <c r="F40" s="1" t="s">
        <v>12</v>
      </c>
      <c r="G40" s="1" t="s">
        <v>13</v>
      </c>
      <c r="H40" s="1">
        <v>18</v>
      </c>
      <c r="I40" s="1">
        <v>3</v>
      </c>
      <c r="J40" s="1">
        <v>0</v>
      </c>
      <c r="M40" s="1" t="str">
        <f>SUBSTITUTE(TEXT(B40,"dd/mm/yyyy"),"-","/")</f>
        <v>02/02/1983</v>
      </c>
      <c r="N40" s="3" t="str">
        <f t="shared" si="2"/>
        <v>02/02/1983</v>
      </c>
      <c r="O40" s="3" t="str">
        <f t="shared" si="3"/>
        <v>02/02/1983</v>
      </c>
      <c r="P40" s="1">
        <f>IF(RIGHT(C40,1)="K", LEFT(C40,LEN(C40)-1)*1000,C40)</f>
        <v>52846</v>
      </c>
      <c r="Q40" s="1" t="str">
        <f>IF(LEFT(D40,1)="M","Male","Female")</f>
        <v>Male</v>
      </c>
      <c r="R40" s="1" t="str">
        <f>TRIM(E40)</f>
        <v>Production Technician I</v>
      </c>
      <c r="S40" s="1" t="str">
        <f>IF(G40="", "To be updated", IF(OR(G40="IT&amp;IS", G40="ITIS"), "IT/IS", G40))</f>
        <v xml:space="preserve">Production       </v>
      </c>
      <c r="T40" s="2">
        <f t="shared" si="0"/>
        <v>18</v>
      </c>
      <c r="U40" s="1">
        <f t="shared" si="1"/>
        <v>3</v>
      </c>
      <c r="V40" s="1">
        <f t="shared" ca="1" si="4"/>
        <v>42</v>
      </c>
    </row>
    <row r="41" spans="1:22" x14ac:dyDescent="0.25">
      <c r="A41" s="1">
        <v>10082</v>
      </c>
      <c r="B41" s="3">
        <v>31569</v>
      </c>
      <c r="C41" s="1">
        <v>100031</v>
      </c>
      <c r="D41" s="1" t="s">
        <v>17</v>
      </c>
      <c r="E41" s="1" t="s">
        <v>14</v>
      </c>
      <c r="F41" s="1" t="s">
        <v>12</v>
      </c>
      <c r="G41" s="1" t="s">
        <v>65</v>
      </c>
      <c r="H41" s="1">
        <v>13</v>
      </c>
      <c r="I41" s="1">
        <v>5</v>
      </c>
      <c r="J41" s="1">
        <v>6</v>
      </c>
      <c r="M41" s="1" t="str">
        <f>SUBSTITUTE(TEXT(B41,"dd/mm/yyyy"),"-","/")</f>
        <v>06/06/1986</v>
      </c>
      <c r="N41" s="3" t="str">
        <f t="shared" si="2"/>
        <v>06/06/1986</v>
      </c>
      <c r="O41" s="3" t="str">
        <f t="shared" si="3"/>
        <v>06/06/1986</v>
      </c>
      <c r="P41" s="1">
        <f>IF(RIGHT(C41,1)="K", LEFT(C41,LEN(C41)-1)*1000,C41)</f>
        <v>100031</v>
      </c>
      <c r="Q41" s="1" t="str">
        <f>IF(LEFT(D41,1)="M","Male","Female")</f>
        <v>Female</v>
      </c>
      <c r="R41" s="1" t="str">
        <f>TRIM(E41)</f>
        <v>Sr. DBA</v>
      </c>
      <c r="S41" s="1" t="str">
        <f>IF(G41="", "To be updated", IF(OR(G41="IT&amp;IS", G41="ITIS"), "IT/IS", G41))</f>
        <v>IT/IS</v>
      </c>
      <c r="T41" s="2">
        <f t="shared" si="0"/>
        <v>13</v>
      </c>
      <c r="U41" s="1">
        <f t="shared" si="1"/>
        <v>5</v>
      </c>
      <c r="V41" s="1">
        <f t="shared" ca="1" si="4"/>
        <v>39</v>
      </c>
    </row>
    <row r="42" spans="1:22" x14ac:dyDescent="0.25">
      <c r="A42" s="1">
        <v>10040</v>
      </c>
      <c r="B42" s="1" t="s">
        <v>105</v>
      </c>
      <c r="C42" s="1">
        <v>71860</v>
      </c>
      <c r="D42" s="1" t="s">
        <v>17</v>
      </c>
      <c r="E42" s="1" t="s">
        <v>32</v>
      </c>
      <c r="F42" s="1" t="s">
        <v>12</v>
      </c>
      <c r="G42" s="1" t="s">
        <v>33</v>
      </c>
      <c r="H42" s="1">
        <v>11</v>
      </c>
      <c r="I42" s="1">
        <v>5</v>
      </c>
      <c r="J42" s="1">
        <v>0</v>
      </c>
      <c r="M42" s="1" t="str">
        <f>SUBSTITUTE(TEXT(B42,"dd/mm/yyyy"),"-","/")</f>
        <v>05/15/1963</v>
      </c>
      <c r="N42" s="3">
        <f t="shared" si="2"/>
        <v>23146</v>
      </c>
      <c r="O42" s="3" t="str">
        <f t="shared" si="3"/>
        <v>15/05/1963</v>
      </c>
      <c r="P42" s="1">
        <f>IF(RIGHT(C42,1)="K", LEFT(C42,LEN(C42)-1)*1000,C42)</f>
        <v>71860</v>
      </c>
      <c r="Q42" s="1" t="str">
        <f>IF(LEFT(D42,1)="M","Male","Female")</f>
        <v>Female</v>
      </c>
      <c r="R42" s="1" t="str">
        <f>TRIM(E42)</f>
        <v>Area Sales Manager</v>
      </c>
      <c r="S42" s="1" t="str">
        <f>IF(G42="", "To be updated", IF(OR(G42="IT&amp;IS", G42="ITIS"), "IT/IS", G42))</f>
        <v>Sales</v>
      </c>
      <c r="T42" s="2">
        <f t="shared" si="0"/>
        <v>11</v>
      </c>
      <c r="U42" s="1">
        <f t="shared" si="1"/>
        <v>5</v>
      </c>
      <c r="V42" s="1">
        <f t="shared" ca="1" si="4"/>
        <v>62</v>
      </c>
    </row>
    <row r="43" spans="1:22" x14ac:dyDescent="0.25">
      <c r="A43" s="1">
        <v>10067</v>
      </c>
      <c r="B43" s="3">
        <v>18660</v>
      </c>
      <c r="C43" s="1">
        <v>61656</v>
      </c>
      <c r="D43" s="1" t="s">
        <v>17</v>
      </c>
      <c r="E43" s="1" t="s">
        <v>11</v>
      </c>
      <c r="F43" s="1" t="s">
        <v>12</v>
      </c>
      <c r="G43" s="1" t="s">
        <v>13</v>
      </c>
      <c r="H43" s="1">
        <v>13</v>
      </c>
      <c r="I43" s="1">
        <v>4</v>
      </c>
      <c r="J43" s="1">
        <v>0</v>
      </c>
      <c r="M43" s="1" t="str">
        <f>SUBSTITUTE(TEXT(B43,"dd/mm/yyyy"),"-","/")</f>
        <v>01/02/1951</v>
      </c>
      <c r="N43" s="3" t="str">
        <f t="shared" si="2"/>
        <v>01/02/1951</v>
      </c>
      <c r="O43" s="3" t="str">
        <f t="shared" si="3"/>
        <v>01/02/1951</v>
      </c>
      <c r="P43" s="1">
        <f>IF(RIGHT(C43,1)="K", LEFT(C43,LEN(C43)-1)*1000,C43)</f>
        <v>61656</v>
      </c>
      <c r="Q43" s="1" t="str">
        <f>IF(LEFT(D43,1)="M","Male","Female")</f>
        <v>Female</v>
      </c>
      <c r="R43" s="1" t="str">
        <f>TRIM(E43)</f>
        <v>Production Technician I</v>
      </c>
      <c r="S43" s="1" t="str">
        <f>IF(G43="", "To be updated", IF(OR(G43="IT&amp;IS", G43="ITIS"), "IT/IS", G43))</f>
        <v xml:space="preserve">Production       </v>
      </c>
      <c r="T43" s="2">
        <f t="shared" si="0"/>
        <v>13</v>
      </c>
      <c r="U43" s="1">
        <f t="shared" si="1"/>
        <v>4</v>
      </c>
      <c r="V43" s="1">
        <f t="shared" ca="1" si="4"/>
        <v>74</v>
      </c>
    </row>
    <row r="44" spans="1:22" x14ac:dyDescent="0.25">
      <c r="A44" s="1">
        <v>10108</v>
      </c>
      <c r="B44" s="3">
        <v>26544</v>
      </c>
      <c r="C44" s="1">
        <v>110929</v>
      </c>
      <c r="D44" s="1" t="s">
        <v>22</v>
      </c>
      <c r="E44" s="1" t="s">
        <v>35</v>
      </c>
      <c r="F44" s="1" t="s">
        <v>12</v>
      </c>
      <c r="G44" s="1" t="s">
        <v>16</v>
      </c>
      <c r="H44" s="1">
        <v>15</v>
      </c>
      <c r="I44" s="1">
        <v>5</v>
      </c>
      <c r="J44" s="1">
        <v>7</v>
      </c>
      <c r="M44" s="1" t="str">
        <f>SUBSTITUTE(TEXT(B44,"dd/mm/yyyy"),"-","/")</f>
        <v>02/09/1972</v>
      </c>
      <c r="N44" s="3" t="str">
        <f t="shared" si="2"/>
        <v>02/09/1972</v>
      </c>
      <c r="O44" s="3" t="str">
        <f t="shared" si="3"/>
        <v>02/09/1972</v>
      </c>
      <c r="P44" s="1">
        <f>IF(RIGHT(C44,1)="K", LEFT(C44,LEN(C44)-1)*1000,C44)</f>
        <v>110929</v>
      </c>
      <c r="Q44" s="1" t="str">
        <f>IF(LEFT(D44,1)="M","Male","Female")</f>
        <v>Male</v>
      </c>
      <c r="R44" s="1" t="str">
        <f>TRIM(E44)</f>
        <v>BI Director</v>
      </c>
      <c r="S44" s="1" t="str">
        <f>IF(G44="", "To be updated", IF(OR(G44="IT&amp;IS", G44="ITIS"), "IT/IS", G44))</f>
        <v>IT/IS</v>
      </c>
      <c r="T44" s="2">
        <f t="shared" si="0"/>
        <v>15</v>
      </c>
      <c r="U44" s="1">
        <f t="shared" si="1"/>
        <v>5</v>
      </c>
      <c r="V44" s="1">
        <f t="shared" ca="1" si="4"/>
        <v>53</v>
      </c>
    </row>
    <row r="45" spans="1:22" x14ac:dyDescent="0.25">
      <c r="A45" s="1">
        <v>10210</v>
      </c>
      <c r="B45" s="3">
        <v>29191</v>
      </c>
      <c r="C45" s="1">
        <v>54237</v>
      </c>
      <c r="D45" s="1" t="s">
        <v>17</v>
      </c>
      <c r="E45" s="1" t="s">
        <v>11</v>
      </c>
      <c r="F45" s="1" t="s">
        <v>12</v>
      </c>
      <c r="G45" s="1" t="s">
        <v>13</v>
      </c>
      <c r="H45" s="1">
        <v>14</v>
      </c>
      <c r="I45" s="1">
        <v>4</v>
      </c>
      <c r="J45" s="1">
        <v>0</v>
      </c>
      <c r="M45" s="1" t="str">
        <f>SUBSTITUTE(TEXT(B45,"dd/mm/yyyy"),"-","/")</f>
        <v>02/12/1979</v>
      </c>
      <c r="N45" s="3" t="str">
        <f t="shared" si="2"/>
        <v>02/12/1979</v>
      </c>
      <c r="O45" s="3" t="str">
        <f t="shared" si="3"/>
        <v>02/12/1979</v>
      </c>
      <c r="P45" s="1">
        <f>IF(RIGHT(C45,1)="K", LEFT(C45,LEN(C45)-1)*1000,C45)</f>
        <v>54237</v>
      </c>
      <c r="Q45" s="1" t="str">
        <f>IF(LEFT(D45,1)="M","Male","Female")</f>
        <v>Female</v>
      </c>
      <c r="R45" s="1" t="str">
        <f>TRIM(E45)</f>
        <v>Production Technician I</v>
      </c>
      <c r="S45" s="1" t="str">
        <f>IF(G45="", "To be updated", IF(OR(G45="IT&amp;IS", G45="ITIS"), "IT/IS", G45))</f>
        <v xml:space="preserve">Production       </v>
      </c>
      <c r="T45" s="2">
        <f t="shared" si="0"/>
        <v>14</v>
      </c>
      <c r="U45" s="1">
        <f t="shared" si="1"/>
        <v>4</v>
      </c>
      <c r="V45" s="1">
        <f t="shared" ca="1" si="4"/>
        <v>45</v>
      </c>
    </row>
    <row r="46" spans="1:22" x14ac:dyDescent="0.25">
      <c r="A46" s="1">
        <v>10154</v>
      </c>
      <c r="B46" s="1" t="s">
        <v>91</v>
      </c>
      <c r="C46" s="1">
        <v>60380</v>
      </c>
      <c r="D46" s="1" t="s">
        <v>22</v>
      </c>
      <c r="E46" s="1" t="s">
        <v>11</v>
      </c>
      <c r="F46" s="1" t="s">
        <v>12</v>
      </c>
      <c r="G46" s="1" t="s">
        <v>13</v>
      </c>
      <c r="H46" s="1">
        <v>24</v>
      </c>
      <c r="I46" s="1">
        <v>5</v>
      </c>
      <c r="J46" s="1">
        <v>0</v>
      </c>
      <c r="M46" s="1" t="str">
        <f>SUBSTITUTE(TEXT(B46,"dd/mm/yyyy"),"-","/")</f>
        <v>08/24/1983</v>
      </c>
      <c r="N46" s="3">
        <f t="shared" si="2"/>
        <v>30552</v>
      </c>
      <c r="O46" s="3" t="str">
        <f t="shared" si="3"/>
        <v>24/08/1983</v>
      </c>
      <c r="P46" s="1">
        <f>IF(RIGHT(C46,1)="K", LEFT(C46,LEN(C46)-1)*1000,C46)</f>
        <v>60380</v>
      </c>
      <c r="Q46" s="1" t="str">
        <f>IF(LEFT(D46,1)="M","Male","Female")</f>
        <v>Male</v>
      </c>
      <c r="R46" s="1" t="str">
        <f>TRIM(E46)</f>
        <v>Production Technician I</v>
      </c>
      <c r="S46" s="1" t="str">
        <f>IF(G46="", "To be updated", IF(OR(G46="IT&amp;IS", G46="ITIS"), "IT/IS", G46))</f>
        <v xml:space="preserve">Production       </v>
      </c>
      <c r="T46" s="2">
        <f t="shared" si="0"/>
        <v>24</v>
      </c>
      <c r="U46" s="1">
        <f t="shared" si="1"/>
        <v>5</v>
      </c>
      <c r="V46" s="1">
        <f t="shared" ca="1" si="4"/>
        <v>42</v>
      </c>
    </row>
    <row r="47" spans="1:22" x14ac:dyDescent="0.25">
      <c r="A47" s="1">
        <v>10200</v>
      </c>
      <c r="B47" s="3">
        <v>25878</v>
      </c>
      <c r="C47" s="1">
        <v>66808</v>
      </c>
      <c r="D47" s="1" t="s">
        <v>22</v>
      </c>
      <c r="E47" s="1" t="s">
        <v>32</v>
      </c>
      <c r="F47" s="1" t="s">
        <v>12</v>
      </c>
      <c r="G47" s="1" t="s">
        <v>33</v>
      </c>
      <c r="H47" s="1">
        <v>16</v>
      </c>
      <c r="I47" s="1">
        <v>5</v>
      </c>
      <c r="J47" s="1">
        <v>0</v>
      </c>
      <c r="M47" s="1" t="str">
        <f>SUBSTITUTE(TEXT(B47,"dd/mm/yyyy"),"-","/")</f>
        <v>06/11/1970</v>
      </c>
      <c r="N47" s="3" t="str">
        <f t="shared" si="2"/>
        <v>06/11/1970</v>
      </c>
      <c r="O47" s="3" t="str">
        <f t="shared" si="3"/>
        <v>06/11/1970</v>
      </c>
      <c r="P47" s="1">
        <f>IF(RIGHT(C47,1)="K", LEFT(C47,LEN(C47)-1)*1000,C47)</f>
        <v>66808</v>
      </c>
      <c r="Q47" s="1" t="str">
        <f>IF(LEFT(D47,1)="M","Male","Female")</f>
        <v>Male</v>
      </c>
      <c r="R47" s="1" t="str">
        <f>TRIM(E47)</f>
        <v>Area Sales Manager</v>
      </c>
      <c r="S47" s="1" t="str">
        <f>IF(G47="", "To be updated", IF(OR(G47="IT&amp;IS", G47="ITIS"), "IT/IS", G47))</f>
        <v>Sales</v>
      </c>
      <c r="T47" s="2">
        <f t="shared" si="0"/>
        <v>16</v>
      </c>
      <c r="U47" s="1">
        <f t="shared" si="1"/>
        <v>5</v>
      </c>
      <c r="V47" s="1">
        <f t="shared" ca="1" si="4"/>
        <v>54</v>
      </c>
    </row>
    <row r="48" spans="1:22" x14ac:dyDescent="0.25">
      <c r="A48" s="1">
        <v>10240</v>
      </c>
      <c r="B48" s="1" t="s">
        <v>92</v>
      </c>
      <c r="C48" s="1">
        <v>64786</v>
      </c>
      <c r="D48" s="1" t="s">
        <v>17</v>
      </c>
      <c r="E48" s="1" t="s">
        <v>11</v>
      </c>
      <c r="F48" s="1" t="s">
        <v>15</v>
      </c>
      <c r="G48" s="1" t="s">
        <v>13</v>
      </c>
      <c r="H48" s="1">
        <v>13</v>
      </c>
      <c r="I48" s="1">
        <v>4</v>
      </c>
      <c r="J48" s="1">
        <v>0</v>
      </c>
      <c r="M48" s="1" t="str">
        <f>SUBSTITUTE(TEXT(B48,"dd/mm/yyyy"),"-","/")</f>
        <v>08/27/1983</v>
      </c>
      <c r="N48" s="3">
        <f t="shared" si="2"/>
        <v>30555</v>
      </c>
      <c r="O48" s="3" t="str">
        <f t="shared" si="3"/>
        <v>27/08/1983</v>
      </c>
      <c r="P48" s="1">
        <f>IF(RIGHT(C48,1)="K", LEFT(C48,LEN(C48)-1)*1000,C48)</f>
        <v>64786</v>
      </c>
      <c r="Q48" s="1" t="str">
        <f>IF(LEFT(D48,1)="M","Male","Female")</f>
        <v>Female</v>
      </c>
      <c r="R48" s="1" t="str">
        <f>TRIM(E48)</f>
        <v>Production Technician I</v>
      </c>
      <c r="S48" s="1" t="str">
        <f>IF(G48="", "To be updated", IF(OR(G48="IT&amp;IS", G48="ITIS"), "IT/IS", G48))</f>
        <v xml:space="preserve">Production       </v>
      </c>
      <c r="T48" s="2">
        <f t="shared" si="0"/>
        <v>13</v>
      </c>
      <c r="U48" s="1">
        <f t="shared" si="1"/>
        <v>4</v>
      </c>
      <c r="V48" s="1">
        <f t="shared" ca="1" si="4"/>
        <v>42</v>
      </c>
    </row>
    <row r="49" spans="1:22" x14ac:dyDescent="0.25">
      <c r="A49" s="1">
        <v>10168</v>
      </c>
      <c r="B49" s="1" t="s">
        <v>106</v>
      </c>
      <c r="C49" s="1">
        <v>64816</v>
      </c>
      <c r="D49" s="1" t="s">
        <v>17</v>
      </c>
      <c r="E49" s="1" t="s">
        <v>11</v>
      </c>
      <c r="F49" s="1" t="s">
        <v>12</v>
      </c>
      <c r="G49" s="1" t="s">
        <v>13</v>
      </c>
      <c r="H49" s="1">
        <v>16</v>
      </c>
      <c r="I49" s="1">
        <v>5</v>
      </c>
      <c r="J49" s="1">
        <v>0</v>
      </c>
      <c r="M49" s="1" t="str">
        <f>SUBSTITUTE(TEXT(B49,"dd/mm/yyyy"),"-","/")</f>
        <v>05/31/1988</v>
      </c>
      <c r="N49" s="3">
        <f t="shared" si="2"/>
        <v>32294</v>
      </c>
      <c r="O49" s="3" t="str">
        <f t="shared" si="3"/>
        <v>31/05/1988</v>
      </c>
      <c r="P49" s="1">
        <f>IF(RIGHT(C49,1)="K", LEFT(C49,LEN(C49)-1)*1000,C49)</f>
        <v>64816</v>
      </c>
      <c r="Q49" s="1" t="str">
        <f>IF(LEFT(D49,1)="M","Male","Female")</f>
        <v>Female</v>
      </c>
      <c r="R49" s="1" t="str">
        <f>TRIM(E49)</f>
        <v>Production Technician I</v>
      </c>
      <c r="S49" s="1" t="str">
        <f>IF(G49="", "To be updated", IF(OR(G49="IT&amp;IS", G49="ITIS"), "IT/IS", G49))</f>
        <v xml:space="preserve">Production       </v>
      </c>
      <c r="T49" s="2">
        <f t="shared" si="0"/>
        <v>16</v>
      </c>
      <c r="U49" s="1">
        <f t="shared" si="1"/>
        <v>5</v>
      </c>
      <c r="V49" s="1">
        <f t="shared" ca="1" si="4"/>
        <v>37</v>
      </c>
    </row>
    <row r="50" spans="1:22" x14ac:dyDescent="0.25">
      <c r="A50" s="1">
        <v>10220</v>
      </c>
      <c r="B50" s="3">
        <v>31176</v>
      </c>
      <c r="C50" s="1">
        <v>68678</v>
      </c>
      <c r="D50" s="1" t="s">
        <v>22</v>
      </c>
      <c r="E50" s="1" t="s">
        <v>23</v>
      </c>
      <c r="F50" s="1" t="s">
        <v>12</v>
      </c>
      <c r="G50" s="1" t="s">
        <v>16</v>
      </c>
      <c r="H50" s="1">
        <v>20</v>
      </c>
      <c r="I50" s="1">
        <v>3</v>
      </c>
      <c r="J50" s="1">
        <v>6</v>
      </c>
      <c r="M50" s="1" t="str">
        <f>SUBSTITUTE(TEXT(B50,"dd/mm/yyyy"),"-","/")</f>
        <v>09/05/1985</v>
      </c>
      <c r="N50" s="3" t="str">
        <f t="shared" si="2"/>
        <v>09/05/1985</v>
      </c>
      <c r="O50" s="3" t="str">
        <f t="shared" si="3"/>
        <v>09/05/1985</v>
      </c>
      <c r="P50" s="1">
        <f>IF(RIGHT(C50,1)="K", LEFT(C50,LEN(C50)-1)*1000,C50)</f>
        <v>68678</v>
      </c>
      <c r="Q50" s="1" t="str">
        <f>IF(LEFT(D50,1)="M","Male","Female")</f>
        <v>Male</v>
      </c>
      <c r="R50" s="1" t="str">
        <f>TRIM(E50)</f>
        <v>IT Support</v>
      </c>
      <c r="S50" s="1" t="str">
        <f>IF(G50="", "To be updated", IF(OR(G50="IT&amp;IS", G50="ITIS"), "IT/IS", G50))</f>
        <v>IT/IS</v>
      </c>
      <c r="T50" s="2">
        <f t="shared" si="0"/>
        <v>20</v>
      </c>
      <c r="U50" s="1">
        <f t="shared" si="1"/>
        <v>3</v>
      </c>
      <c r="V50" s="1">
        <f t="shared" ca="1" si="4"/>
        <v>40</v>
      </c>
    </row>
    <row r="51" spans="1:22" x14ac:dyDescent="0.25">
      <c r="A51" s="1">
        <v>10275</v>
      </c>
      <c r="B51" s="1" t="s">
        <v>107</v>
      </c>
      <c r="C51" s="1">
        <v>64066</v>
      </c>
      <c r="D51" s="1" t="s">
        <v>17</v>
      </c>
      <c r="E51" s="1" t="s">
        <v>18</v>
      </c>
      <c r="F51" s="1" t="s">
        <v>15</v>
      </c>
      <c r="G51" s="1" t="s">
        <v>13</v>
      </c>
      <c r="H51" s="1">
        <v>22</v>
      </c>
      <c r="I51" s="1">
        <v>5</v>
      </c>
      <c r="J51" s="1">
        <v>0</v>
      </c>
      <c r="M51" s="1" t="str">
        <f>SUBSTITUTE(TEXT(B51,"dd/mm/yyyy"),"-","/")</f>
        <v>08/31/1981</v>
      </c>
      <c r="N51" s="3">
        <f t="shared" si="2"/>
        <v>29829</v>
      </c>
      <c r="O51" s="3" t="str">
        <f t="shared" si="3"/>
        <v>31/08/1981</v>
      </c>
      <c r="P51" s="1">
        <f>IF(RIGHT(C51,1)="K", LEFT(C51,LEN(C51)-1)*1000,C51)</f>
        <v>64066</v>
      </c>
      <c r="Q51" s="1" t="str">
        <f>IF(LEFT(D51,1)="M","Male","Female")</f>
        <v>Female</v>
      </c>
      <c r="R51" s="1" t="str">
        <f>TRIM(E51)</f>
        <v>Production Technician II</v>
      </c>
      <c r="S51" s="1" t="str">
        <f>IF(G51="", "To be updated", IF(OR(G51="IT&amp;IS", G51="ITIS"), "IT/IS", G51))</f>
        <v xml:space="preserve">Production       </v>
      </c>
      <c r="T51" s="2">
        <f t="shared" si="0"/>
        <v>22</v>
      </c>
      <c r="U51" s="1">
        <f t="shared" si="1"/>
        <v>5</v>
      </c>
      <c r="V51" s="1">
        <f t="shared" ca="1" si="4"/>
        <v>44</v>
      </c>
    </row>
    <row r="52" spans="1:22" x14ac:dyDescent="0.25">
      <c r="A52" s="1">
        <v>10269</v>
      </c>
      <c r="B52" s="1" t="s">
        <v>239</v>
      </c>
      <c r="C52" s="1">
        <v>59369</v>
      </c>
      <c r="D52" s="1" t="s">
        <v>10</v>
      </c>
      <c r="E52" s="1" t="s">
        <v>18</v>
      </c>
      <c r="F52" s="1" t="s">
        <v>15</v>
      </c>
      <c r="G52" s="1" t="s">
        <v>13</v>
      </c>
      <c r="H52" s="1">
        <v>19</v>
      </c>
      <c r="I52" s="1">
        <v>4</v>
      </c>
      <c r="J52" s="1">
        <v>0</v>
      </c>
      <c r="M52" s="1" t="str">
        <f>SUBSTITUTE(TEXT(B52,"dd/mm/yyyy"),"-","/")</f>
        <v>11/25/1978</v>
      </c>
      <c r="N52" s="3">
        <f t="shared" si="2"/>
        <v>28819</v>
      </c>
      <c r="O52" s="3" t="str">
        <f t="shared" si="3"/>
        <v>25/11/1978</v>
      </c>
      <c r="P52" s="1">
        <f>IF(RIGHT(C52,1)="K", LEFT(C52,LEN(C52)-1)*1000,C52)</f>
        <v>59369</v>
      </c>
      <c r="Q52" s="1" t="str">
        <f>IF(LEFT(D52,1)="M","Male","Female")</f>
        <v>Male</v>
      </c>
      <c r="R52" s="1" t="str">
        <f>TRIM(E52)</f>
        <v>Production Technician II</v>
      </c>
      <c r="S52" s="1" t="str">
        <f>IF(G52="", "To be updated", IF(OR(G52="IT&amp;IS", G52="ITIS"), "IT/IS", G52))</f>
        <v xml:space="preserve">Production       </v>
      </c>
      <c r="T52" s="2">
        <f t="shared" si="0"/>
        <v>19</v>
      </c>
      <c r="U52" s="1">
        <f t="shared" si="1"/>
        <v>4</v>
      </c>
      <c r="V52" s="1">
        <f t="shared" ca="1" si="4"/>
        <v>46</v>
      </c>
    </row>
    <row r="53" spans="1:22" x14ac:dyDescent="0.25">
      <c r="A53" s="1">
        <v>10029</v>
      </c>
      <c r="B53" s="1" t="s">
        <v>108</v>
      </c>
      <c r="C53" s="1">
        <v>50373</v>
      </c>
      <c r="D53" s="1" t="s">
        <v>10</v>
      </c>
      <c r="E53" s="1" t="s">
        <v>11</v>
      </c>
      <c r="F53" s="1" t="s">
        <v>12</v>
      </c>
      <c r="G53" s="1" t="s">
        <v>13</v>
      </c>
      <c r="H53" s="1">
        <v>15</v>
      </c>
      <c r="I53" s="1">
        <v>4</v>
      </c>
      <c r="J53" s="1">
        <v>0</v>
      </c>
      <c r="M53" s="1" t="str">
        <f>SUBSTITUTE(TEXT(B53,"dd/mm/yyyy"),"-","/")</f>
        <v>08/26/1980</v>
      </c>
      <c r="N53" s="3">
        <f t="shared" si="2"/>
        <v>29459</v>
      </c>
      <c r="O53" s="3" t="str">
        <f t="shared" si="3"/>
        <v>26/08/1980</v>
      </c>
      <c r="P53" s="1">
        <f>IF(RIGHT(C53,1)="K", LEFT(C53,LEN(C53)-1)*1000,C53)</f>
        <v>50373</v>
      </c>
      <c r="Q53" s="1" t="str">
        <f>IF(LEFT(D53,1)="M","Male","Female")</f>
        <v>Male</v>
      </c>
      <c r="R53" s="1" t="str">
        <f>TRIM(E53)</f>
        <v>Production Technician I</v>
      </c>
      <c r="S53" s="1" t="str">
        <f>IF(G53="", "To be updated", IF(OR(G53="IT&amp;IS", G53="ITIS"), "IT/IS", G53))</f>
        <v xml:space="preserve">Production       </v>
      </c>
      <c r="T53" s="2">
        <f t="shared" si="0"/>
        <v>15</v>
      </c>
      <c r="U53" s="1">
        <f t="shared" si="1"/>
        <v>4</v>
      </c>
      <c r="V53" s="1">
        <f t="shared" ca="1" si="4"/>
        <v>45</v>
      </c>
    </row>
    <row r="54" spans="1:22" x14ac:dyDescent="0.25">
      <c r="A54" s="1">
        <v>10261</v>
      </c>
      <c r="B54" s="3">
        <v>28346</v>
      </c>
      <c r="C54" s="1">
        <v>63108</v>
      </c>
      <c r="D54" s="1" t="s">
        <v>10</v>
      </c>
      <c r="E54" s="1" t="s">
        <v>11</v>
      </c>
      <c r="F54" s="1" t="s">
        <v>12</v>
      </c>
      <c r="G54" s="1" t="s">
        <v>13</v>
      </c>
      <c r="H54" s="1">
        <v>11</v>
      </c>
      <c r="I54" s="1">
        <v>5</v>
      </c>
      <c r="J54" s="1">
        <v>0</v>
      </c>
      <c r="M54" s="1" t="str">
        <f>SUBSTITUTE(TEXT(B54,"dd/mm/yyyy"),"-","/")</f>
        <v>09/08/1977</v>
      </c>
      <c r="N54" s="3" t="str">
        <f t="shared" si="2"/>
        <v>09/08/1977</v>
      </c>
      <c r="O54" s="3" t="str">
        <f t="shared" si="3"/>
        <v>09/08/1977</v>
      </c>
      <c r="P54" s="1">
        <f>IF(RIGHT(C54,1)="K", LEFT(C54,LEN(C54)-1)*1000,C54)</f>
        <v>63108</v>
      </c>
      <c r="Q54" s="1" t="str">
        <f>IF(LEFT(D54,1)="M","Male","Female")</f>
        <v>Male</v>
      </c>
      <c r="R54" s="1" t="str">
        <f>TRIM(E54)</f>
        <v>Production Technician I</v>
      </c>
      <c r="S54" s="1" t="str">
        <f>IF(G54="", "To be updated", IF(OR(G54="IT&amp;IS", G54="ITIS"), "IT/IS", G54))</f>
        <v xml:space="preserve">Production       </v>
      </c>
      <c r="T54" s="2">
        <f t="shared" si="0"/>
        <v>11</v>
      </c>
      <c r="U54" s="1">
        <f t="shared" si="1"/>
        <v>5</v>
      </c>
      <c r="V54" s="1">
        <f t="shared" ca="1" si="4"/>
        <v>48</v>
      </c>
    </row>
    <row r="55" spans="1:22" x14ac:dyDescent="0.25">
      <c r="A55" s="1">
        <v>10292</v>
      </c>
      <c r="B55" s="3">
        <v>29197</v>
      </c>
      <c r="C55" s="1">
        <v>59144</v>
      </c>
      <c r="D55" s="1" t="s">
        <v>10</v>
      </c>
      <c r="E55" s="1" t="s">
        <v>11</v>
      </c>
      <c r="F55" s="1" t="s">
        <v>25</v>
      </c>
      <c r="G55" s="1" t="s">
        <v>13</v>
      </c>
      <c r="H55" s="1">
        <v>14</v>
      </c>
      <c r="I55" s="1">
        <v>3</v>
      </c>
      <c r="J55" s="1">
        <v>0</v>
      </c>
      <c r="M55" s="1" t="str">
        <f>SUBSTITUTE(TEXT(B55,"dd/mm/yyyy"),"-","/")</f>
        <v>08/12/1979</v>
      </c>
      <c r="N55" s="3" t="str">
        <f t="shared" si="2"/>
        <v>08/12/1979</v>
      </c>
      <c r="O55" s="3" t="str">
        <f t="shared" si="3"/>
        <v>08/12/1979</v>
      </c>
      <c r="P55" s="1">
        <f>IF(RIGHT(C55,1)="K", LEFT(C55,LEN(C55)-1)*1000,C55)</f>
        <v>59144</v>
      </c>
      <c r="Q55" s="1" t="str">
        <f>IF(LEFT(D55,1)="M","Male","Female")</f>
        <v>Male</v>
      </c>
      <c r="R55" s="1" t="str">
        <f>TRIM(E55)</f>
        <v>Production Technician I</v>
      </c>
      <c r="S55" s="1" t="str">
        <f>IF(G55="", "To be updated", IF(OR(G55="IT&amp;IS", G55="ITIS"), "IT/IS", G55))</f>
        <v xml:space="preserve">Production       </v>
      </c>
      <c r="T55" s="2">
        <f t="shared" si="0"/>
        <v>14</v>
      </c>
      <c r="U55" s="1">
        <f t="shared" si="1"/>
        <v>3</v>
      </c>
      <c r="V55" s="1">
        <f t="shared" ca="1" si="4"/>
        <v>45</v>
      </c>
    </row>
    <row r="56" spans="1:22" x14ac:dyDescent="0.25">
      <c r="A56" s="1">
        <v>10282</v>
      </c>
      <c r="B56" s="1" t="s">
        <v>109</v>
      </c>
      <c r="C56" s="1">
        <v>68051</v>
      </c>
      <c r="D56" s="1" t="s">
        <v>10</v>
      </c>
      <c r="E56" s="1" t="s">
        <v>30</v>
      </c>
      <c r="F56" s="1" t="s">
        <v>12</v>
      </c>
      <c r="G56" s="1" t="s">
        <v>13</v>
      </c>
      <c r="H56" s="1">
        <v>17</v>
      </c>
      <c r="I56" s="1">
        <v>2</v>
      </c>
      <c r="J56" s="1">
        <v>0</v>
      </c>
      <c r="M56" s="1" t="str">
        <f>SUBSTITUTE(TEXT(B56,"dd/mm/yyyy"),"-","/")</f>
        <v>12/17/1975</v>
      </c>
      <c r="N56" s="3">
        <f t="shared" si="2"/>
        <v>27745</v>
      </c>
      <c r="O56" s="3" t="str">
        <f t="shared" si="3"/>
        <v>17/12/1975</v>
      </c>
      <c r="P56" s="1">
        <f>IF(RIGHT(C56,1)="K", LEFT(C56,LEN(C56)-1)*1000,C56)</f>
        <v>68051</v>
      </c>
      <c r="Q56" s="1" t="str">
        <f>IF(LEFT(D56,1)="M","Male","Female")</f>
        <v>Male</v>
      </c>
      <c r="R56" s="1" t="str">
        <f>TRIM(E56)</f>
        <v>Production Manager</v>
      </c>
      <c r="S56" s="1" t="str">
        <f>IF(G56="", "To be updated", IF(OR(G56="IT&amp;IS", G56="ITIS"), "IT/IS", G56))</f>
        <v xml:space="preserve">Production       </v>
      </c>
      <c r="T56" s="2">
        <f t="shared" si="0"/>
        <v>17</v>
      </c>
      <c r="U56" s="1">
        <f t="shared" si="1"/>
        <v>2</v>
      </c>
      <c r="V56" s="1">
        <f t="shared" ca="1" si="4"/>
        <v>49</v>
      </c>
    </row>
    <row r="57" spans="1:22" x14ac:dyDescent="0.25">
      <c r="A57" s="1">
        <v>10019</v>
      </c>
      <c r="B57" s="1" t="s">
        <v>110</v>
      </c>
      <c r="C57" s="1">
        <v>170500</v>
      </c>
      <c r="D57" s="1" t="s">
        <v>10</v>
      </c>
      <c r="E57" s="1" t="s">
        <v>36</v>
      </c>
      <c r="F57" s="1" t="s">
        <v>12</v>
      </c>
      <c r="G57" s="1" t="s">
        <v>13</v>
      </c>
      <c r="H57" s="1">
        <v>23</v>
      </c>
      <c r="I57" s="1">
        <v>5</v>
      </c>
      <c r="J57" s="1">
        <v>0</v>
      </c>
      <c r="M57" s="1" t="str">
        <f>SUBSTITUTE(TEXT(B57,"dd/mm/yyyy"),"-","/")</f>
        <v>03/19/1983</v>
      </c>
      <c r="N57" s="3">
        <f t="shared" si="2"/>
        <v>30394</v>
      </c>
      <c r="O57" s="3" t="str">
        <f t="shared" si="3"/>
        <v>19/03/1983</v>
      </c>
      <c r="P57" s="1">
        <f>IF(RIGHT(C57,1)="K", LEFT(C57,LEN(C57)-1)*1000,C57)</f>
        <v>170500</v>
      </c>
      <c r="Q57" s="1" t="str">
        <f>IF(LEFT(D57,1)="M","Male","Female")</f>
        <v>Male</v>
      </c>
      <c r="R57" s="1" t="str">
        <f>TRIM(E57)</f>
        <v>Director of Operations</v>
      </c>
      <c r="S57" s="1" t="str">
        <f>IF(G57="", "To be updated", IF(OR(G57="IT&amp;IS", G57="ITIS"), "IT/IS", G57))</f>
        <v xml:space="preserve">Production       </v>
      </c>
      <c r="T57" s="2">
        <f t="shared" si="0"/>
        <v>23</v>
      </c>
      <c r="U57" s="1">
        <f t="shared" si="1"/>
        <v>5</v>
      </c>
      <c r="V57" s="1">
        <f t="shared" ca="1" si="4"/>
        <v>42</v>
      </c>
    </row>
    <row r="58" spans="1:22" x14ac:dyDescent="0.25">
      <c r="A58" s="1">
        <v>10094</v>
      </c>
      <c r="B58" s="1" t="s">
        <v>111</v>
      </c>
      <c r="C58" s="1">
        <v>63381</v>
      </c>
      <c r="D58" s="1" t="s">
        <v>17</v>
      </c>
      <c r="E58" s="1" t="s">
        <v>11</v>
      </c>
      <c r="F58" s="1" t="s">
        <v>12</v>
      </c>
      <c r="G58" s="1" t="s">
        <v>13</v>
      </c>
      <c r="H58" s="1">
        <v>12</v>
      </c>
      <c r="I58" s="1">
        <v>5</v>
      </c>
      <c r="J58" s="1">
        <v>0</v>
      </c>
      <c r="M58" s="1" t="str">
        <f>SUBSTITUTE(TEXT(B58,"dd/mm/yyyy"),"-","/")</f>
        <v>03/31/1977</v>
      </c>
      <c r="N58" s="3">
        <f t="shared" si="2"/>
        <v>28215</v>
      </c>
      <c r="O58" s="3" t="str">
        <f t="shared" si="3"/>
        <v>31/03/1977</v>
      </c>
      <c r="P58" s="1">
        <f>IF(RIGHT(C58,1)="K", LEFT(C58,LEN(C58)-1)*1000,C58)</f>
        <v>63381</v>
      </c>
      <c r="Q58" s="1" t="str">
        <f>IF(LEFT(D58,1)="M","Male","Female")</f>
        <v>Female</v>
      </c>
      <c r="R58" s="1" t="str">
        <f>TRIM(E58)</f>
        <v>Production Technician I</v>
      </c>
      <c r="S58" s="1" t="str">
        <f>IF(G58="", "To be updated", IF(OR(G58="IT&amp;IS", G58="ITIS"), "IT/IS", G58))</f>
        <v xml:space="preserve">Production       </v>
      </c>
      <c r="T58" s="2">
        <f t="shared" si="0"/>
        <v>12</v>
      </c>
      <c r="U58" s="1">
        <f t="shared" si="1"/>
        <v>5</v>
      </c>
      <c r="V58" s="1">
        <f t="shared" ca="1" si="4"/>
        <v>48</v>
      </c>
    </row>
    <row r="59" spans="1:22" x14ac:dyDescent="0.25">
      <c r="A59" s="1">
        <v>10193</v>
      </c>
      <c r="B59" s="1" t="s">
        <v>112</v>
      </c>
      <c r="C59" s="1">
        <v>83552</v>
      </c>
      <c r="D59" s="1" t="s">
        <v>22</v>
      </c>
      <c r="E59" s="1" t="s">
        <v>24</v>
      </c>
      <c r="F59" s="1" t="s">
        <v>12</v>
      </c>
      <c r="G59" s="1" t="s">
        <v>16</v>
      </c>
      <c r="H59" s="1">
        <v>13</v>
      </c>
      <c r="I59" s="1">
        <v>3</v>
      </c>
      <c r="J59" s="1">
        <v>6</v>
      </c>
      <c r="M59" s="1" t="str">
        <f>SUBSTITUTE(TEXT(B59,"dd/mm/yyyy"),"-","/")</f>
        <v>08/26/1986</v>
      </c>
      <c r="N59" s="3">
        <f t="shared" si="2"/>
        <v>31650</v>
      </c>
      <c r="O59" s="3" t="str">
        <f t="shared" si="3"/>
        <v>26/08/1986</v>
      </c>
      <c r="P59" s="1">
        <f>IF(RIGHT(C59,1)="K", LEFT(C59,LEN(C59)-1)*1000,C59)</f>
        <v>83552</v>
      </c>
      <c r="Q59" s="1" t="str">
        <f>IF(LEFT(D59,1)="M","Male","Female")</f>
        <v>Male</v>
      </c>
      <c r="R59" s="1" t="str">
        <f>TRIM(E59)</f>
        <v>Data Analyst</v>
      </c>
      <c r="S59" s="1" t="str">
        <f>IF(G59="", "To be updated", IF(OR(G59="IT&amp;IS", G59="ITIS"), "IT/IS", G59))</f>
        <v>IT/IS</v>
      </c>
      <c r="T59" s="2">
        <f t="shared" si="0"/>
        <v>13</v>
      </c>
      <c r="U59" s="1">
        <f t="shared" si="1"/>
        <v>3</v>
      </c>
      <c r="V59" s="1">
        <f t="shared" ca="1" si="4"/>
        <v>39</v>
      </c>
    </row>
    <row r="60" spans="1:22" x14ac:dyDescent="0.25">
      <c r="A60" s="1">
        <v>10132</v>
      </c>
      <c r="B60" s="3">
        <v>32054</v>
      </c>
      <c r="C60" s="1">
        <v>56149</v>
      </c>
      <c r="D60" s="1" t="s">
        <v>17</v>
      </c>
      <c r="E60" s="1" t="s">
        <v>11</v>
      </c>
      <c r="F60" s="1" t="s">
        <v>12</v>
      </c>
      <c r="G60" s="1" t="s">
        <v>13</v>
      </c>
      <c r="H60" s="1">
        <v>12</v>
      </c>
      <c r="I60" s="1">
        <v>5</v>
      </c>
      <c r="J60" s="1">
        <v>0</v>
      </c>
      <c r="M60" s="1" t="str">
        <f>SUBSTITUTE(TEXT(B60,"dd/mm/yyyy"),"-","/")</f>
        <v>04/10/1987</v>
      </c>
      <c r="N60" s="3" t="str">
        <f t="shared" si="2"/>
        <v>04/10/1987</v>
      </c>
      <c r="O60" s="3" t="str">
        <f t="shared" si="3"/>
        <v>04/10/1987</v>
      </c>
      <c r="P60" s="1">
        <f>IF(RIGHT(C60,1)="K", LEFT(C60,LEN(C60)-1)*1000,C60)</f>
        <v>56149</v>
      </c>
      <c r="Q60" s="1" t="str">
        <f>IF(LEFT(D60,1)="M","Male","Female")</f>
        <v>Female</v>
      </c>
      <c r="R60" s="1" t="str">
        <f>TRIM(E60)</f>
        <v>Production Technician I</v>
      </c>
      <c r="S60" s="1" t="str">
        <f>IF(G60="", "To be updated", IF(OR(G60="IT&amp;IS", G60="ITIS"), "IT/IS", G60))</f>
        <v xml:space="preserve">Production       </v>
      </c>
      <c r="T60" s="2">
        <f t="shared" si="0"/>
        <v>12</v>
      </c>
      <c r="U60" s="1">
        <f t="shared" si="1"/>
        <v>5</v>
      </c>
      <c r="V60" s="1">
        <f t="shared" ca="1" si="4"/>
        <v>37</v>
      </c>
    </row>
    <row r="61" spans="1:22" x14ac:dyDescent="0.25">
      <c r="A61" s="1">
        <v>10083</v>
      </c>
      <c r="B61" s="3">
        <v>23994</v>
      </c>
      <c r="C61" s="1">
        <v>92329</v>
      </c>
      <c r="D61" s="1" t="s">
        <v>22</v>
      </c>
      <c r="E61" s="1" t="s">
        <v>37</v>
      </c>
      <c r="F61" s="1" t="s">
        <v>12</v>
      </c>
      <c r="G61" s="1" t="s">
        <v>64</v>
      </c>
      <c r="H61" s="1">
        <v>16</v>
      </c>
      <c r="I61" s="1">
        <v>3</v>
      </c>
      <c r="J61" s="1">
        <v>4</v>
      </c>
      <c r="M61" s="1" t="str">
        <f>SUBSTITUTE(TEXT(B61,"dd/mm/yyyy"),"-","/")</f>
        <v>09/09/1965</v>
      </c>
      <c r="N61" s="3" t="str">
        <f t="shared" si="2"/>
        <v>09/09/1965</v>
      </c>
      <c r="O61" s="3" t="str">
        <f t="shared" si="3"/>
        <v>09/09/1965</v>
      </c>
      <c r="P61" s="1">
        <f>IF(RIGHT(C61,1)="K", LEFT(C61,LEN(C61)-1)*1000,C61)</f>
        <v>92329</v>
      </c>
      <c r="Q61" s="1" t="str">
        <f>IF(LEFT(D61,1)="M","Male","Female")</f>
        <v>Male</v>
      </c>
      <c r="R61" s="1" t="str">
        <f>TRIM(E61)</f>
        <v>Sr. Network Engineer</v>
      </c>
      <c r="S61" s="1" t="str">
        <f>IF(G61="", "To be updated", IF(OR(G61="IT&amp;IS", G61="ITIS"), "IT/IS", G61))</f>
        <v>IT/IS</v>
      </c>
      <c r="T61" s="2">
        <f t="shared" si="0"/>
        <v>16</v>
      </c>
      <c r="U61" s="1">
        <f t="shared" si="1"/>
        <v>3</v>
      </c>
      <c r="V61" s="1">
        <f t="shared" ca="1" si="4"/>
        <v>60</v>
      </c>
    </row>
    <row r="62" spans="1:22" x14ac:dyDescent="0.25">
      <c r="A62" s="1">
        <v>10099</v>
      </c>
      <c r="B62" s="1" t="s">
        <v>113</v>
      </c>
      <c r="C62" s="1">
        <v>65729</v>
      </c>
      <c r="D62" s="1" t="s">
        <v>17</v>
      </c>
      <c r="E62" s="1" t="s">
        <v>38</v>
      </c>
      <c r="F62" s="1" t="s">
        <v>12</v>
      </c>
      <c r="G62" s="1" t="s">
        <v>33</v>
      </c>
      <c r="H62" s="1">
        <v>14</v>
      </c>
      <c r="I62" s="1">
        <v>4</v>
      </c>
      <c r="J62" s="1">
        <v>0</v>
      </c>
      <c r="M62" s="1" t="str">
        <f>SUBSTITUTE(TEXT(B62,"dd/mm/yyyy"),"-","/")</f>
        <v>04/19/1990</v>
      </c>
      <c r="N62" s="3">
        <f t="shared" si="2"/>
        <v>32982</v>
      </c>
      <c r="O62" s="3" t="str">
        <f t="shared" si="3"/>
        <v>19/04/1990</v>
      </c>
      <c r="P62" s="1">
        <f>IF(RIGHT(C62,1)="K", LEFT(C62,LEN(C62)-1)*1000,C62)</f>
        <v>65729</v>
      </c>
      <c r="Q62" s="1" t="str">
        <f>IF(LEFT(D62,1)="M","Male","Female")</f>
        <v>Female</v>
      </c>
      <c r="R62" s="1" t="str">
        <f>TRIM(E62)</f>
        <v>Sales Manager</v>
      </c>
      <c r="S62" s="1" t="str">
        <f>IF(G62="", "To be updated", IF(OR(G62="IT&amp;IS", G62="ITIS"), "IT/IS", G62))</f>
        <v>Sales</v>
      </c>
      <c r="T62" s="2">
        <f t="shared" si="0"/>
        <v>14</v>
      </c>
      <c r="U62" s="1">
        <f t="shared" si="1"/>
        <v>4</v>
      </c>
      <c r="V62" s="1">
        <f t="shared" ca="1" si="4"/>
        <v>35</v>
      </c>
    </row>
    <row r="63" spans="1:22" x14ac:dyDescent="0.25">
      <c r="A63" s="1">
        <v>10212</v>
      </c>
      <c r="B63" s="1" t="s">
        <v>114</v>
      </c>
      <c r="C63" s="1">
        <v>85028</v>
      </c>
      <c r="D63" s="1" t="s">
        <v>17</v>
      </c>
      <c r="E63" s="1" t="s">
        <v>37</v>
      </c>
      <c r="F63" s="1" t="s">
        <v>12</v>
      </c>
      <c r="G63" s="1" t="s">
        <v>16</v>
      </c>
      <c r="H63" s="1">
        <v>18</v>
      </c>
      <c r="I63" s="1">
        <v>5</v>
      </c>
      <c r="J63" s="1">
        <v>8</v>
      </c>
      <c r="M63" s="1" t="str">
        <f>SUBSTITUTE(TEXT(B63,"dd/mm/yyyy"),"-","/")</f>
        <v>01/18/1952</v>
      </c>
      <c r="N63" s="3">
        <f t="shared" si="2"/>
        <v>19011</v>
      </c>
      <c r="O63" s="3" t="str">
        <f t="shared" si="3"/>
        <v>18/01/1952</v>
      </c>
      <c r="P63" s="1">
        <f>IF(RIGHT(C63,1)="K", LEFT(C63,LEN(C63)-1)*1000,C63)</f>
        <v>85028</v>
      </c>
      <c r="Q63" s="1" t="str">
        <f>IF(LEFT(D63,1)="M","Male","Female")</f>
        <v>Female</v>
      </c>
      <c r="R63" s="1" t="str">
        <f>TRIM(E63)</f>
        <v>Sr. Network Engineer</v>
      </c>
      <c r="S63" s="1" t="str">
        <f>IF(G63="", "To be updated", IF(OR(G63="IT&amp;IS", G63="ITIS"), "IT/IS", G63))</f>
        <v>IT/IS</v>
      </c>
      <c r="T63" s="2">
        <f t="shared" si="0"/>
        <v>18</v>
      </c>
      <c r="U63" s="1">
        <f t="shared" si="1"/>
        <v>5</v>
      </c>
      <c r="V63" s="1">
        <f t="shared" ca="1" si="4"/>
        <v>73</v>
      </c>
    </row>
    <row r="64" spans="1:22" x14ac:dyDescent="0.25">
      <c r="A64" s="1">
        <v>10056</v>
      </c>
      <c r="B64" s="3">
        <v>28621</v>
      </c>
      <c r="C64" s="1">
        <v>57583</v>
      </c>
      <c r="D64" s="1" t="s">
        <v>17</v>
      </c>
      <c r="E64" s="1" t="s">
        <v>11</v>
      </c>
      <c r="F64" s="1" t="s">
        <v>12</v>
      </c>
      <c r="G64" s="1" t="s">
        <v>13</v>
      </c>
      <c r="H64" s="1">
        <v>21</v>
      </c>
      <c r="I64" s="1">
        <v>3</v>
      </c>
      <c r="J64" s="1">
        <v>0</v>
      </c>
      <c r="M64" s="1" t="str">
        <f>SUBSTITUTE(TEXT(B64,"dd/mm/yyyy"),"-","/")</f>
        <v>11/05/1978</v>
      </c>
      <c r="N64" s="3" t="str">
        <f t="shared" si="2"/>
        <v>11/05/1978</v>
      </c>
      <c r="O64" s="3" t="str">
        <f t="shared" si="3"/>
        <v>11/05/1978</v>
      </c>
      <c r="P64" s="1">
        <f>IF(RIGHT(C64,1)="K", LEFT(C64,LEN(C64)-1)*1000,C64)</f>
        <v>57583</v>
      </c>
      <c r="Q64" s="1" t="str">
        <f>IF(LEFT(D64,1)="M","Male","Female")</f>
        <v>Female</v>
      </c>
      <c r="R64" s="1" t="str">
        <f>TRIM(E64)</f>
        <v>Production Technician I</v>
      </c>
      <c r="S64" s="1" t="str">
        <f>IF(G64="", "To be updated", IF(OR(G64="IT&amp;IS", G64="ITIS"), "IT/IS", G64))</f>
        <v xml:space="preserve">Production       </v>
      </c>
      <c r="T64" s="2">
        <f t="shared" si="0"/>
        <v>21</v>
      </c>
      <c r="U64" s="1">
        <f t="shared" si="1"/>
        <v>3</v>
      </c>
      <c r="V64" s="1">
        <f t="shared" ca="1" si="4"/>
        <v>47</v>
      </c>
    </row>
    <row r="65" spans="1:22" x14ac:dyDescent="0.25">
      <c r="A65" s="1">
        <v>10143</v>
      </c>
      <c r="B65" s="1" t="s">
        <v>115</v>
      </c>
      <c r="C65" s="1">
        <v>56294</v>
      </c>
      <c r="D65" s="1" t="s">
        <v>22</v>
      </c>
      <c r="E65" s="1" t="s">
        <v>18</v>
      </c>
      <c r="F65" s="1" t="s">
        <v>12</v>
      </c>
      <c r="G65" s="1" t="s">
        <v>13</v>
      </c>
      <c r="H65" s="1">
        <v>22</v>
      </c>
      <c r="I65" s="1">
        <v>4</v>
      </c>
      <c r="J65" s="1">
        <v>0</v>
      </c>
      <c r="M65" s="1" t="str">
        <f>SUBSTITUTE(TEXT(B65,"dd/mm/yyyy"),"-","/")</f>
        <v>09/14/1979</v>
      </c>
      <c r="N65" s="3">
        <f t="shared" si="2"/>
        <v>29112</v>
      </c>
      <c r="O65" s="3" t="str">
        <f t="shared" si="3"/>
        <v>14/09/1979</v>
      </c>
      <c r="P65" s="1">
        <f>IF(RIGHT(C65,1)="K", LEFT(C65,LEN(C65)-1)*1000,C65)</f>
        <v>56294</v>
      </c>
      <c r="Q65" s="1" t="str">
        <f>IF(LEFT(D65,1)="M","Male","Female")</f>
        <v>Male</v>
      </c>
      <c r="R65" s="1" t="str">
        <f>TRIM(E65)</f>
        <v>Production Technician II</v>
      </c>
      <c r="S65" s="1" t="str">
        <f>IF(G65="", "To be updated", IF(OR(G65="IT&amp;IS", G65="ITIS"), "IT/IS", G65))</f>
        <v xml:space="preserve">Production       </v>
      </c>
      <c r="T65" s="2">
        <f t="shared" si="0"/>
        <v>22</v>
      </c>
      <c r="U65" s="1">
        <f t="shared" si="1"/>
        <v>4</v>
      </c>
      <c r="V65" s="1">
        <f t="shared" ca="1" si="4"/>
        <v>46</v>
      </c>
    </row>
    <row r="66" spans="1:22" x14ac:dyDescent="0.25">
      <c r="A66" s="1">
        <v>10311</v>
      </c>
      <c r="B66" s="1" t="s">
        <v>116</v>
      </c>
      <c r="C66" s="1">
        <v>56991</v>
      </c>
      <c r="D66" s="1" t="s">
        <v>22</v>
      </c>
      <c r="E66" s="1" t="s">
        <v>11</v>
      </c>
      <c r="F66" s="1" t="s">
        <v>12</v>
      </c>
      <c r="G66" s="1" t="s">
        <v>13</v>
      </c>
      <c r="H66" s="1">
        <v>14</v>
      </c>
      <c r="I66" s="1">
        <v>4</v>
      </c>
      <c r="J66" s="1">
        <v>3</v>
      </c>
      <c r="M66" s="1" t="str">
        <f>SUBSTITUTE(TEXT(B66,"dd/mm/yyyy"),"-","/")</f>
        <v>04/15/1988</v>
      </c>
      <c r="N66" s="3">
        <f t="shared" si="2"/>
        <v>32248</v>
      </c>
      <c r="O66" s="3" t="str">
        <f t="shared" si="3"/>
        <v>15/04/1988</v>
      </c>
      <c r="P66" s="1">
        <f>IF(RIGHT(C66,1)="K", LEFT(C66,LEN(C66)-1)*1000,C66)</f>
        <v>56991</v>
      </c>
      <c r="Q66" s="1" t="str">
        <f>IF(LEFT(D66,1)="M","Male","Female")</f>
        <v>Male</v>
      </c>
      <c r="R66" s="1" t="str">
        <f>TRIM(E66)</f>
        <v>Production Technician I</v>
      </c>
      <c r="S66" s="1" t="str">
        <f>IF(G66="", "To be updated", IF(OR(G66="IT&amp;IS", G66="ITIS"), "IT/IS", G66))</f>
        <v xml:space="preserve">Production       </v>
      </c>
      <c r="T66" s="2">
        <f t="shared" ref="T66:T129" si="5">IF(ISBLANK(H66),AVERAGE($H$2:$H$312),H66)</f>
        <v>14</v>
      </c>
      <c r="U66" s="1">
        <f t="shared" ref="U66:U129" si="6">IF(I66="High",MAX($I$2:$I$312),IF(I66="Low",MIN($I$2:$I$312),I66))</f>
        <v>4</v>
      </c>
      <c r="V66" s="1">
        <f t="shared" ca="1" si="4"/>
        <v>37</v>
      </c>
    </row>
    <row r="67" spans="1:22" x14ac:dyDescent="0.25">
      <c r="A67" s="1">
        <v>10070</v>
      </c>
      <c r="B67" s="1" t="s">
        <v>117</v>
      </c>
      <c r="C67" s="1">
        <v>55722</v>
      </c>
      <c r="D67" s="1" t="s">
        <v>22</v>
      </c>
      <c r="E67" s="1" t="s">
        <v>11</v>
      </c>
      <c r="F67" s="1" t="s">
        <v>15</v>
      </c>
      <c r="G67" s="1" t="s">
        <v>13</v>
      </c>
      <c r="H67" s="1">
        <v>16</v>
      </c>
      <c r="I67" s="1">
        <v>4</v>
      </c>
      <c r="J67" s="1">
        <v>0</v>
      </c>
      <c r="M67" s="1" t="str">
        <f>SUBSTITUTE(TEXT(B67,"dd/mm/yyyy"),"-","/")</f>
        <v>10/31/1977</v>
      </c>
      <c r="N67" s="3">
        <f t="shared" ref="N67:N130" si="7">IF(VALUE(MID(M67,4,2))&gt;12,DATE(RIGHT(M67,4),LEFT(M67,2),MID(M67,4,2)),M67)</f>
        <v>28429</v>
      </c>
      <c r="O67" s="3" t="str">
        <f t="shared" ref="O67:O130" si="8">SUBSTITUTE(TEXT(N67,"dd/mm/yyyy"),"-","/")</f>
        <v>31/10/1977</v>
      </c>
      <c r="P67" s="1">
        <f>IF(RIGHT(C67,1)="K", LEFT(C67,LEN(C67)-1)*1000,C67)</f>
        <v>55722</v>
      </c>
      <c r="Q67" s="1" t="str">
        <f>IF(LEFT(D67,1)="M","Male","Female")</f>
        <v>Male</v>
      </c>
      <c r="R67" s="1" t="str">
        <f>TRIM(E67)</f>
        <v>Production Technician I</v>
      </c>
      <c r="S67" s="1" t="str">
        <f>IF(G67="", "To be updated", IF(OR(G67="IT&amp;IS", G67="ITIS"), "IT/IS", G67))</f>
        <v xml:space="preserve">Production       </v>
      </c>
      <c r="T67" s="2">
        <f t="shared" si="5"/>
        <v>16</v>
      </c>
      <c r="U67" s="1">
        <f t="shared" si="6"/>
        <v>4</v>
      </c>
      <c r="V67" s="1">
        <f t="shared" ref="V67:V130" ca="1" si="9">DATEDIF(O67,TODAY(),"Y")</f>
        <v>47</v>
      </c>
    </row>
    <row r="68" spans="1:22" x14ac:dyDescent="0.25">
      <c r="A68" s="1">
        <v>10155</v>
      </c>
      <c r="B68" s="3">
        <v>28982</v>
      </c>
      <c r="C68" s="1">
        <v>101199</v>
      </c>
      <c r="D68" s="1" t="s">
        <v>17</v>
      </c>
      <c r="E68" s="1" t="s">
        <v>20</v>
      </c>
      <c r="F68" s="1" t="s">
        <v>12</v>
      </c>
      <c r="G68" s="1" t="s">
        <v>21</v>
      </c>
      <c r="H68" s="1">
        <v>11</v>
      </c>
      <c r="I68" s="1">
        <v>5</v>
      </c>
      <c r="J68" s="1">
        <v>5</v>
      </c>
      <c r="M68" s="1" t="str">
        <f>SUBSTITUTE(TEXT(B68,"dd/mm/yyyy"),"-","/")</f>
        <v>07/05/1979</v>
      </c>
      <c r="N68" s="3" t="str">
        <f t="shared" si="7"/>
        <v>07/05/1979</v>
      </c>
      <c r="O68" s="3" t="str">
        <f t="shared" si="8"/>
        <v>07/05/1979</v>
      </c>
      <c r="P68" s="1">
        <f>IF(RIGHT(C68,1)="K", LEFT(C68,LEN(C68)-1)*1000,C68)</f>
        <v>101199</v>
      </c>
      <c r="Q68" s="1" t="str">
        <f>IF(LEFT(D68,1)="M","Male","Female")</f>
        <v>Female</v>
      </c>
      <c r="R68" s="1" t="str">
        <f>TRIM(E68)</f>
        <v>Software Engineer</v>
      </c>
      <c r="S68" s="1" t="str">
        <f>IF(G68="", "To be updated", IF(OR(G68="IT&amp;IS", G68="ITIS"), "IT/IS", G68))</f>
        <v>Software Engineering</v>
      </c>
      <c r="T68" s="2">
        <f t="shared" si="5"/>
        <v>11</v>
      </c>
      <c r="U68" s="1">
        <f t="shared" si="6"/>
        <v>5</v>
      </c>
      <c r="V68" s="1">
        <f t="shared" ca="1" si="9"/>
        <v>46</v>
      </c>
    </row>
    <row r="69" spans="1:22" x14ac:dyDescent="0.25">
      <c r="A69" s="1">
        <v>10306</v>
      </c>
      <c r="B69" s="3">
        <v>27436</v>
      </c>
      <c r="C69" s="1">
        <v>61568</v>
      </c>
      <c r="D69" s="1" t="s">
        <v>22</v>
      </c>
      <c r="E69" s="1" t="s">
        <v>32</v>
      </c>
      <c r="F69" s="1" t="s">
        <v>12</v>
      </c>
      <c r="G69" s="1" t="s">
        <v>33</v>
      </c>
      <c r="H69" s="1">
        <v>21</v>
      </c>
      <c r="I69" s="1">
        <v>3</v>
      </c>
      <c r="J69" s="1">
        <v>0</v>
      </c>
      <c r="M69" s="1" t="str">
        <f>SUBSTITUTE(TEXT(B69,"dd/mm/yyyy"),"-","/")</f>
        <v>11/02/1975</v>
      </c>
      <c r="N69" s="3" t="str">
        <f t="shared" si="7"/>
        <v>11/02/1975</v>
      </c>
      <c r="O69" s="3" t="str">
        <f t="shared" si="8"/>
        <v>11/02/1975</v>
      </c>
      <c r="P69" s="1">
        <f>IF(RIGHT(C69,1)="K", LEFT(C69,LEN(C69)-1)*1000,C69)</f>
        <v>61568</v>
      </c>
      <c r="Q69" s="1" t="str">
        <f>IF(LEFT(D69,1)="M","Male","Female")</f>
        <v>Male</v>
      </c>
      <c r="R69" s="1" t="str">
        <f>TRIM(E69)</f>
        <v>Area Sales Manager</v>
      </c>
      <c r="S69" s="1" t="str">
        <f>IF(G69="", "To be updated", IF(OR(G69="IT&amp;IS", G69="ITIS"), "IT/IS", G69))</f>
        <v>Sales</v>
      </c>
      <c r="T69" s="2">
        <f t="shared" si="5"/>
        <v>21</v>
      </c>
      <c r="U69" s="1">
        <f t="shared" si="6"/>
        <v>3</v>
      </c>
      <c r="V69" s="1">
        <f t="shared" ca="1" si="9"/>
        <v>50</v>
      </c>
    </row>
    <row r="70" spans="1:22" x14ac:dyDescent="0.25">
      <c r="A70" s="1">
        <v>10100</v>
      </c>
      <c r="B70" s="1" t="s">
        <v>118</v>
      </c>
      <c r="C70" s="1">
        <v>58275</v>
      </c>
      <c r="D70" s="1" t="s">
        <v>17</v>
      </c>
      <c r="E70" s="1" t="s">
        <v>18</v>
      </c>
      <c r="F70" s="1" t="s">
        <v>15</v>
      </c>
      <c r="G70" s="1" t="s">
        <v>13</v>
      </c>
      <c r="H70" s="1">
        <v>13</v>
      </c>
      <c r="I70" s="1">
        <v>5</v>
      </c>
      <c r="J70" s="1">
        <v>0</v>
      </c>
      <c r="M70" s="1" t="str">
        <f>SUBSTITUTE(TEXT(B70,"dd/mm/yyyy"),"-","/")</f>
        <v>02/25/1951</v>
      </c>
      <c r="N70" s="3">
        <f t="shared" si="7"/>
        <v>18684</v>
      </c>
      <c r="O70" s="3" t="str">
        <f t="shared" si="8"/>
        <v>25/02/1951</v>
      </c>
      <c r="P70" s="1">
        <f>IF(RIGHT(C70,1)="K", LEFT(C70,LEN(C70)-1)*1000,C70)</f>
        <v>58275</v>
      </c>
      <c r="Q70" s="1" t="str">
        <f>IF(LEFT(D70,1)="M","Male","Female")</f>
        <v>Female</v>
      </c>
      <c r="R70" s="1" t="str">
        <f>TRIM(E70)</f>
        <v>Production Technician II</v>
      </c>
      <c r="S70" s="1" t="str">
        <f>IF(G70="", "To be updated", IF(OR(G70="IT&amp;IS", G70="ITIS"), "IT/IS", G70))</f>
        <v xml:space="preserve">Production       </v>
      </c>
      <c r="T70" s="2">
        <f t="shared" si="5"/>
        <v>13</v>
      </c>
      <c r="U70" s="1">
        <f t="shared" si="6"/>
        <v>5</v>
      </c>
      <c r="V70" s="1">
        <f t="shared" ca="1" si="9"/>
        <v>74</v>
      </c>
    </row>
    <row r="71" spans="1:22" x14ac:dyDescent="0.25">
      <c r="A71" s="1">
        <v>10310</v>
      </c>
      <c r="B71" s="1" t="s">
        <v>119</v>
      </c>
      <c r="C71" s="1">
        <v>53189</v>
      </c>
      <c r="D71" s="1" t="s">
        <v>22</v>
      </c>
      <c r="E71" s="1" t="s">
        <v>11</v>
      </c>
      <c r="F71" s="1" t="s">
        <v>12</v>
      </c>
      <c r="G71" s="1" t="s">
        <v>13</v>
      </c>
      <c r="H71" s="1">
        <v>13</v>
      </c>
      <c r="I71" s="1">
        <v>2</v>
      </c>
      <c r="J71" s="1">
        <v>0</v>
      </c>
      <c r="M71" s="1" t="str">
        <f>SUBSTITUTE(TEXT(B71,"dd/mm/yyyy"),"-","/")</f>
        <v>04/19/1967</v>
      </c>
      <c r="N71" s="3">
        <f t="shared" si="7"/>
        <v>24581</v>
      </c>
      <c r="O71" s="3" t="str">
        <f t="shared" si="8"/>
        <v>19/04/1967</v>
      </c>
      <c r="P71" s="1">
        <f>IF(RIGHT(C71,1)="K", LEFT(C71,LEN(C71)-1)*1000,C71)</f>
        <v>53189</v>
      </c>
      <c r="Q71" s="1" t="str">
        <f>IF(LEFT(D71,1)="M","Male","Female")</f>
        <v>Male</v>
      </c>
      <c r="R71" s="1" t="str">
        <f>TRIM(E71)</f>
        <v>Production Technician I</v>
      </c>
      <c r="S71" s="1" t="str">
        <f>IF(G71="", "To be updated", IF(OR(G71="IT&amp;IS", G71="ITIS"), "IT/IS", G71))</f>
        <v xml:space="preserve">Production       </v>
      </c>
      <c r="T71" s="2">
        <f t="shared" si="5"/>
        <v>13</v>
      </c>
      <c r="U71" s="1">
        <f t="shared" si="6"/>
        <v>2</v>
      </c>
      <c r="V71" s="1">
        <f t="shared" ca="1" si="9"/>
        <v>58</v>
      </c>
    </row>
    <row r="72" spans="1:22" x14ac:dyDescent="0.25">
      <c r="A72" s="1">
        <v>10197</v>
      </c>
      <c r="B72" s="3">
        <v>30415</v>
      </c>
      <c r="C72" s="1">
        <v>96820</v>
      </c>
      <c r="D72" s="1" t="s">
        <v>22</v>
      </c>
      <c r="E72" s="1" t="s">
        <v>39</v>
      </c>
      <c r="F72" s="1" t="s">
        <v>12</v>
      </c>
      <c r="G72" s="1" t="s">
        <v>16</v>
      </c>
      <c r="H72" s="1">
        <v>19</v>
      </c>
      <c r="I72" s="1">
        <v>5</v>
      </c>
      <c r="J72" s="1">
        <v>7</v>
      </c>
      <c r="M72" s="1" t="str">
        <f>SUBSTITUTE(TEXT(B72,"dd/mm/yyyy"),"-","/")</f>
        <v>09/04/1983</v>
      </c>
      <c r="N72" s="3" t="str">
        <f t="shared" si="7"/>
        <v>09/04/1983</v>
      </c>
      <c r="O72" s="3" t="str">
        <f t="shared" si="8"/>
        <v>09/04/1983</v>
      </c>
      <c r="P72" s="1">
        <f>IF(RIGHT(C72,1)="K", LEFT(C72,LEN(C72)-1)*1000,C72)</f>
        <v>96820</v>
      </c>
      <c r="Q72" s="1" t="str">
        <f>IF(LEFT(D72,1)="M","Male","Female")</f>
        <v>Male</v>
      </c>
      <c r="R72" s="1" t="str">
        <f>TRIM(E72)</f>
        <v>BI Developer</v>
      </c>
      <c r="S72" s="1" t="str">
        <f>IF(G72="", "To be updated", IF(OR(G72="IT&amp;IS", G72="ITIS"), "IT/IS", G72))</f>
        <v>IT/IS</v>
      </c>
      <c r="T72" s="2">
        <f t="shared" si="5"/>
        <v>19</v>
      </c>
      <c r="U72" s="1">
        <f t="shared" si="6"/>
        <v>5</v>
      </c>
      <c r="V72" s="1">
        <f t="shared" ca="1" si="9"/>
        <v>42</v>
      </c>
    </row>
    <row r="73" spans="1:22" x14ac:dyDescent="0.25">
      <c r="A73" s="1">
        <v>10276</v>
      </c>
      <c r="B73" s="1" t="s">
        <v>121</v>
      </c>
      <c r="C73" s="1">
        <v>51259</v>
      </c>
      <c r="D73" s="1" t="s">
        <v>22</v>
      </c>
      <c r="E73" s="1" t="s">
        <v>11</v>
      </c>
      <c r="F73" s="1" t="s">
        <v>12</v>
      </c>
      <c r="G73" s="1" t="s">
        <v>13</v>
      </c>
      <c r="H73" s="1">
        <v>18</v>
      </c>
      <c r="I73" s="1">
        <v>4</v>
      </c>
      <c r="J73" s="1">
        <v>0</v>
      </c>
      <c r="M73" s="1" t="str">
        <f>SUBSTITUTE(TEXT(B73,"dd/mm/yyyy"),"-","/")</f>
        <v>11/15/1982</v>
      </c>
      <c r="N73" s="3">
        <f t="shared" si="7"/>
        <v>30270</v>
      </c>
      <c r="O73" s="3" t="str">
        <f t="shared" si="8"/>
        <v>15/11/1982</v>
      </c>
      <c r="P73" s="1">
        <f>IF(RIGHT(C73,1)="K", LEFT(C73,LEN(C73)-1)*1000,C73)</f>
        <v>51259</v>
      </c>
      <c r="Q73" s="1" t="str">
        <f>IF(LEFT(D73,1)="M","Male","Female")</f>
        <v>Male</v>
      </c>
      <c r="R73" s="1" t="str">
        <f>TRIM(E73)</f>
        <v>Production Technician I</v>
      </c>
      <c r="S73" s="1" t="str">
        <f>IF(G73="", "To be updated", IF(OR(G73="IT&amp;IS", G73="ITIS"), "IT/IS", G73))</f>
        <v xml:space="preserve">Production       </v>
      </c>
      <c r="T73" s="2">
        <f t="shared" si="5"/>
        <v>18</v>
      </c>
      <c r="U73" s="1">
        <f t="shared" si="6"/>
        <v>4</v>
      </c>
      <c r="V73" s="1">
        <f t="shared" ca="1" si="9"/>
        <v>42</v>
      </c>
    </row>
    <row r="74" spans="1:22" x14ac:dyDescent="0.25">
      <c r="A74" s="1">
        <v>10304</v>
      </c>
      <c r="B74" s="1" t="s">
        <v>120</v>
      </c>
      <c r="C74" s="1">
        <v>59231</v>
      </c>
      <c r="D74" s="1" t="s">
        <v>17</v>
      </c>
      <c r="E74" s="1" t="s">
        <v>32</v>
      </c>
      <c r="F74" s="1" t="s">
        <v>12</v>
      </c>
      <c r="G74" s="1" t="s">
        <v>33</v>
      </c>
      <c r="H74" s="1">
        <v>16</v>
      </c>
      <c r="I74" s="1">
        <v>1</v>
      </c>
      <c r="J74" s="1">
        <v>0</v>
      </c>
      <c r="M74" s="1" t="str">
        <f>SUBSTITUTE(TEXT(B74,"dd/mm/yyyy"),"-","/")</f>
        <v>05/14/1987</v>
      </c>
      <c r="N74" s="3">
        <f t="shared" si="7"/>
        <v>31911</v>
      </c>
      <c r="O74" s="3" t="str">
        <f t="shared" si="8"/>
        <v>14/05/1987</v>
      </c>
      <c r="P74" s="1">
        <f>IF(RIGHT(C74,1)="K", LEFT(C74,LEN(C74)-1)*1000,C74)</f>
        <v>59231</v>
      </c>
      <c r="Q74" s="1" t="str">
        <f>IF(LEFT(D74,1)="M","Male","Female")</f>
        <v>Female</v>
      </c>
      <c r="R74" s="1" t="str">
        <f>TRIM(E74)</f>
        <v>Area Sales Manager</v>
      </c>
      <c r="S74" s="1" t="str">
        <f>IF(G74="", "To be updated", IF(OR(G74="IT&amp;IS", G74="ITIS"), "IT/IS", G74))</f>
        <v>Sales</v>
      </c>
      <c r="T74" s="2">
        <f t="shared" si="5"/>
        <v>16</v>
      </c>
      <c r="U74" s="1">
        <f t="shared" si="6"/>
        <v>1</v>
      </c>
      <c r="V74" s="1">
        <f t="shared" ca="1" si="9"/>
        <v>38</v>
      </c>
    </row>
    <row r="75" spans="1:22" x14ac:dyDescent="0.25">
      <c r="A75" s="1">
        <v>10284</v>
      </c>
      <c r="B75" s="3">
        <v>28533</v>
      </c>
      <c r="C75" s="1">
        <v>61584</v>
      </c>
      <c r="D75" s="1" t="s">
        <v>17</v>
      </c>
      <c r="E75" s="1" t="s">
        <v>61</v>
      </c>
      <c r="F75" s="1" t="s">
        <v>12</v>
      </c>
      <c r="G75" s="1" t="s">
        <v>13</v>
      </c>
      <c r="H75" s="1">
        <v>21</v>
      </c>
      <c r="I75" s="1">
        <v>4</v>
      </c>
      <c r="J75" s="1">
        <v>0</v>
      </c>
      <c r="M75" s="1" t="str">
        <f>SUBSTITUTE(TEXT(B75,"dd/mm/yyyy"),"-","/")</f>
        <v>12/02/1978</v>
      </c>
      <c r="N75" s="3" t="str">
        <f t="shared" si="7"/>
        <v>12/02/1978</v>
      </c>
      <c r="O75" s="3" t="str">
        <f t="shared" si="8"/>
        <v>12/02/1978</v>
      </c>
      <c r="P75" s="1">
        <f>IF(RIGHT(C75,1)="K", LEFT(C75,LEN(C75)-1)*1000,C75)</f>
        <v>61584</v>
      </c>
      <c r="Q75" s="1" t="str">
        <f>IF(LEFT(D75,1)="M","Male","Female")</f>
        <v>Female</v>
      </c>
      <c r="R75" s="1" t="str">
        <f>TRIM(E75)</f>
        <v>Production Technician I</v>
      </c>
      <c r="S75" s="1" t="str">
        <f>IF(G75="", "To be updated", IF(OR(G75="IT&amp;IS", G75="ITIS"), "IT/IS", G75))</f>
        <v xml:space="preserve">Production       </v>
      </c>
      <c r="T75" s="2">
        <f t="shared" si="5"/>
        <v>21</v>
      </c>
      <c r="U75" s="1">
        <f t="shared" si="6"/>
        <v>4</v>
      </c>
      <c r="V75" s="1">
        <f t="shared" ca="1" si="9"/>
        <v>47</v>
      </c>
    </row>
    <row r="76" spans="1:22" x14ac:dyDescent="0.25">
      <c r="A76" s="1">
        <v>10207</v>
      </c>
      <c r="B76" s="3">
        <v>31603</v>
      </c>
      <c r="C76" s="1">
        <v>46335</v>
      </c>
      <c r="D76" s="1" t="s">
        <v>17</v>
      </c>
      <c r="E76" s="1" t="s">
        <v>61</v>
      </c>
      <c r="F76" s="1" t="s">
        <v>12</v>
      </c>
      <c r="G76" s="1" t="s">
        <v>13</v>
      </c>
      <c r="H76" s="1">
        <v>12</v>
      </c>
      <c r="I76" s="1">
        <v>5</v>
      </c>
      <c r="J76" s="1">
        <v>0</v>
      </c>
      <c r="M76" s="1" t="str">
        <f>SUBSTITUTE(TEXT(B76,"dd/mm/yyyy"),"-","/")</f>
        <v>10/07/1986</v>
      </c>
      <c r="N76" s="3" t="str">
        <f t="shared" si="7"/>
        <v>10/07/1986</v>
      </c>
      <c r="O76" s="3" t="str">
        <f t="shared" si="8"/>
        <v>10/07/1986</v>
      </c>
      <c r="P76" s="1">
        <f>IF(RIGHT(C76,1)="K", LEFT(C76,LEN(C76)-1)*1000,C76)</f>
        <v>46335</v>
      </c>
      <c r="Q76" s="1" t="str">
        <f>IF(LEFT(D76,1)="M","Male","Female")</f>
        <v>Female</v>
      </c>
      <c r="R76" s="1" t="str">
        <f>TRIM(E76)</f>
        <v>Production Technician I</v>
      </c>
      <c r="S76" s="1" t="str">
        <f>IF(G76="", "To be updated", IF(OR(G76="IT&amp;IS", G76="ITIS"), "IT/IS", G76))</f>
        <v xml:space="preserve">Production       </v>
      </c>
      <c r="T76" s="2">
        <f t="shared" si="5"/>
        <v>12</v>
      </c>
      <c r="U76" s="1">
        <f t="shared" si="6"/>
        <v>5</v>
      </c>
      <c r="V76" s="1">
        <f t="shared" ca="1" si="9"/>
        <v>39</v>
      </c>
    </row>
    <row r="77" spans="1:22" x14ac:dyDescent="0.25">
      <c r="A77" s="1">
        <v>10133</v>
      </c>
      <c r="B77" s="1" t="s">
        <v>122</v>
      </c>
      <c r="C77" s="1">
        <v>70621</v>
      </c>
      <c r="D77" s="1" t="s">
        <v>17</v>
      </c>
      <c r="E77" s="1" t="s">
        <v>23</v>
      </c>
      <c r="F77" s="1" t="s">
        <v>12</v>
      </c>
      <c r="G77" s="1" t="s">
        <v>16</v>
      </c>
      <c r="H77" s="1">
        <v>12</v>
      </c>
      <c r="I77" s="1">
        <v>4</v>
      </c>
      <c r="J77" s="1">
        <v>6</v>
      </c>
      <c r="M77" s="1" t="str">
        <f>SUBSTITUTE(TEXT(B77,"dd/mm/yyyy"),"-","/")</f>
        <v>07/18/1988</v>
      </c>
      <c r="N77" s="3">
        <f t="shared" si="7"/>
        <v>32342</v>
      </c>
      <c r="O77" s="3" t="str">
        <f t="shared" si="8"/>
        <v>18/07/1988</v>
      </c>
      <c r="P77" s="1">
        <f>IF(RIGHT(C77,1)="K", LEFT(C77,LEN(C77)-1)*1000,C77)</f>
        <v>70621</v>
      </c>
      <c r="Q77" s="1" t="str">
        <f>IF(LEFT(D77,1)="M","Male","Female")</f>
        <v>Female</v>
      </c>
      <c r="R77" s="1" t="str">
        <f>TRIM(E77)</f>
        <v>IT Support</v>
      </c>
      <c r="S77" s="1" t="str">
        <f>IF(G77="", "To be updated", IF(OR(G77="IT&amp;IS", G77="ITIS"), "IT/IS", G77))</f>
        <v>IT/IS</v>
      </c>
      <c r="T77" s="2">
        <f t="shared" si="5"/>
        <v>12</v>
      </c>
      <c r="U77" s="1">
        <f t="shared" si="6"/>
        <v>4</v>
      </c>
      <c r="V77" s="1">
        <f t="shared" ca="1" si="9"/>
        <v>37</v>
      </c>
    </row>
    <row r="78" spans="1:22" x14ac:dyDescent="0.25">
      <c r="A78" s="1">
        <v>10028</v>
      </c>
      <c r="B78" s="3">
        <v>25818</v>
      </c>
      <c r="C78" s="1">
        <v>138888</v>
      </c>
      <c r="D78" s="1" t="s">
        <v>22</v>
      </c>
      <c r="E78" s="1" t="s">
        <v>40</v>
      </c>
      <c r="F78" s="1" t="s">
        <v>12</v>
      </c>
      <c r="G78" s="1" t="s">
        <v>16</v>
      </c>
      <c r="H78" s="1">
        <v>16</v>
      </c>
      <c r="I78" s="1">
        <v>5</v>
      </c>
      <c r="J78" s="1">
        <v>5</v>
      </c>
      <c r="M78" s="1" t="str">
        <f>SUBSTITUTE(TEXT(B78,"dd/mm/yyyy"),"-","/")</f>
        <v>07/09/1970</v>
      </c>
      <c r="N78" s="3" t="str">
        <f t="shared" si="7"/>
        <v>07/09/1970</v>
      </c>
      <c r="O78" s="3" t="str">
        <f t="shared" si="8"/>
        <v>07/09/1970</v>
      </c>
      <c r="P78" s="1">
        <f>IF(RIGHT(C78,1)="K", LEFT(C78,LEN(C78)-1)*1000,C78)</f>
        <v>138888</v>
      </c>
      <c r="Q78" s="1" t="str">
        <f>IF(LEFT(D78,1)="M","Male","Female")</f>
        <v>Male</v>
      </c>
      <c r="R78" s="1" t="str">
        <f>TRIM(E78)</f>
        <v>IT Manager - Support</v>
      </c>
      <c r="S78" s="1" t="str">
        <f>IF(G78="", "To be updated", IF(OR(G78="IT&amp;IS", G78="ITIS"), "IT/IS", G78))</f>
        <v>IT/IS</v>
      </c>
      <c r="T78" s="2">
        <f t="shared" si="5"/>
        <v>16</v>
      </c>
      <c r="U78" s="1">
        <f t="shared" si="6"/>
        <v>5</v>
      </c>
      <c r="V78" s="1">
        <f t="shared" ca="1" si="9"/>
        <v>55</v>
      </c>
    </row>
    <row r="79" spans="1:22" x14ac:dyDescent="0.25">
      <c r="A79" s="1">
        <v>10006</v>
      </c>
      <c r="B79" s="3">
        <v>32366</v>
      </c>
      <c r="C79" s="1">
        <v>74241</v>
      </c>
      <c r="D79" s="1" t="s">
        <v>19</v>
      </c>
      <c r="E79" s="1" t="s">
        <v>32</v>
      </c>
      <c r="F79" s="1" t="s">
        <v>12</v>
      </c>
      <c r="G79" s="1" t="s">
        <v>33</v>
      </c>
      <c r="H79" s="1">
        <v>13</v>
      </c>
      <c r="I79" s="1">
        <v>5</v>
      </c>
      <c r="J79" s="1">
        <v>0</v>
      </c>
      <c r="M79" s="1" t="str">
        <f>SUBSTITUTE(TEXT(B79,"dd/mm/yyyy"),"-","/")</f>
        <v>11/08/1988</v>
      </c>
      <c r="N79" s="3" t="str">
        <f t="shared" si="7"/>
        <v>11/08/1988</v>
      </c>
      <c r="O79" s="3" t="str">
        <f t="shared" si="8"/>
        <v>11/08/1988</v>
      </c>
      <c r="P79" s="1">
        <f>IF(RIGHT(C79,1)="K", LEFT(C79,LEN(C79)-1)*1000,C79)</f>
        <v>74241</v>
      </c>
      <c r="Q79" s="1" t="str">
        <f>IF(LEFT(D79,1)="M","Male","Female")</f>
        <v>Female</v>
      </c>
      <c r="R79" s="1" t="str">
        <f>TRIM(E79)</f>
        <v>Area Sales Manager</v>
      </c>
      <c r="S79" s="1" t="str">
        <f>IF(G79="", "To be updated", IF(OR(G79="IT&amp;IS", G79="ITIS"), "IT/IS", G79))</f>
        <v>Sales</v>
      </c>
      <c r="T79" s="2">
        <f t="shared" si="5"/>
        <v>13</v>
      </c>
      <c r="U79" s="1">
        <f t="shared" si="6"/>
        <v>5</v>
      </c>
      <c r="V79" s="1">
        <f t="shared" ca="1" si="9"/>
        <v>37</v>
      </c>
    </row>
    <row r="80" spans="1:22" x14ac:dyDescent="0.25">
      <c r="A80" s="1">
        <v>10105</v>
      </c>
      <c r="B80" s="1" t="s">
        <v>123</v>
      </c>
      <c r="C80" s="1">
        <v>75188</v>
      </c>
      <c r="D80" s="1" t="s">
        <v>19</v>
      </c>
      <c r="E80" s="1" t="s">
        <v>30</v>
      </c>
      <c r="F80" s="1" t="s">
        <v>12</v>
      </c>
      <c r="G80" s="1" t="s">
        <v>13</v>
      </c>
      <c r="H80" s="1">
        <v>11</v>
      </c>
      <c r="I80" s="1">
        <v>4</v>
      </c>
      <c r="J80" s="1">
        <v>0</v>
      </c>
      <c r="M80" s="1" t="str">
        <f>SUBSTITUTE(TEXT(B80,"dd/mm/yyyy"),"-","/")</f>
        <v>11/28/1973</v>
      </c>
      <c r="N80" s="3">
        <f t="shared" si="7"/>
        <v>26996</v>
      </c>
      <c r="O80" s="3" t="str">
        <f t="shared" si="8"/>
        <v>28/11/1973</v>
      </c>
      <c r="P80" s="1">
        <f>IF(RIGHT(C80,1)="K", LEFT(C80,LEN(C80)-1)*1000,C80)</f>
        <v>75188</v>
      </c>
      <c r="Q80" s="1" t="str">
        <f>IF(LEFT(D80,1)="M","Male","Female")</f>
        <v>Female</v>
      </c>
      <c r="R80" s="1" t="str">
        <f>TRIM(E80)</f>
        <v>Production Manager</v>
      </c>
      <c r="S80" s="1" t="str">
        <f>IF(G80="", "To be updated", IF(OR(G80="IT&amp;IS", G80="ITIS"), "IT/IS", G80))</f>
        <v xml:space="preserve">Production       </v>
      </c>
      <c r="T80" s="2">
        <f t="shared" si="5"/>
        <v>11</v>
      </c>
      <c r="U80" s="1">
        <f t="shared" si="6"/>
        <v>4</v>
      </c>
      <c r="V80" s="1">
        <f t="shared" ca="1" si="9"/>
        <v>51</v>
      </c>
    </row>
    <row r="81" spans="1:22" x14ac:dyDescent="0.25">
      <c r="A81" s="1">
        <v>10211</v>
      </c>
      <c r="B81" s="1" t="s">
        <v>124</v>
      </c>
      <c r="C81" s="1">
        <v>62514</v>
      </c>
      <c r="D81" s="1" t="s">
        <v>19</v>
      </c>
      <c r="E81" s="1" t="s">
        <v>63</v>
      </c>
      <c r="F81" s="1" t="s">
        <v>12</v>
      </c>
      <c r="G81" s="1" t="s">
        <v>13</v>
      </c>
      <c r="H81" s="1">
        <v>21</v>
      </c>
      <c r="I81" s="1">
        <v>3</v>
      </c>
      <c r="J81" s="1">
        <v>0</v>
      </c>
      <c r="M81" s="1" t="str">
        <f>SUBSTITUTE(TEXT(B81,"dd/mm/yyyy"),"-","/")</f>
        <v>09/23/1973</v>
      </c>
      <c r="N81" s="3">
        <f t="shared" si="7"/>
        <v>26930</v>
      </c>
      <c r="O81" s="3" t="str">
        <f t="shared" si="8"/>
        <v>23/09/1973</v>
      </c>
      <c r="P81" s="1">
        <f>IF(RIGHT(C81,1)="K", LEFT(C81,LEN(C81)-1)*1000,C81)</f>
        <v>62514</v>
      </c>
      <c r="Q81" s="1" t="str">
        <f>IF(LEFT(D81,1)="M","Male","Female")</f>
        <v>Female</v>
      </c>
      <c r="R81" s="1" t="str">
        <f>TRIM(E81)</f>
        <v>Production Technician I</v>
      </c>
      <c r="S81" s="1" t="str">
        <f>IF(G81="", "To be updated", IF(OR(G81="IT&amp;IS", G81="ITIS"), "IT/IS", G81))</f>
        <v xml:space="preserve">Production       </v>
      </c>
      <c r="T81" s="2">
        <f t="shared" si="5"/>
        <v>21</v>
      </c>
      <c r="U81" s="1">
        <f t="shared" si="6"/>
        <v>3</v>
      </c>
      <c r="V81" s="1">
        <f t="shared" ca="1" si="9"/>
        <v>52</v>
      </c>
    </row>
    <row r="82" spans="1:22" x14ac:dyDescent="0.25">
      <c r="A82" s="1">
        <v>10064</v>
      </c>
      <c r="B82" s="3">
        <v>33367</v>
      </c>
      <c r="C82" s="1">
        <v>60070</v>
      </c>
      <c r="D82" s="1" t="s">
        <v>19</v>
      </c>
      <c r="E82" s="1" t="s">
        <v>63</v>
      </c>
      <c r="F82" s="1" t="s">
        <v>15</v>
      </c>
      <c r="G82" s="1" t="s">
        <v>13</v>
      </c>
      <c r="H82" s="1">
        <v>16</v>
      </c>
      <c r="I82" s="1">
        <v>3</v>
      </c>
      <c r="J82" s="1">
        <v>0</v>
      </c>
      <c r="M82" s="1" t="str">
        <f>SUBSTITUTE(TEXT(B82,"dd/mm/yyyy"),"-","/")</f>
        <v>09/05/1991</v>
      </c>
      <c r="N82" s="3" t="str">
        <f t="shared" si="7"/>
        <v>09/05/1991</v>
      </c>
      <c r="O82" s="3" t="str">
        <f t="shared" si="8"/>
        <v>09/05/1991</v>
      </c>
      <c r="P82" s="1">
        <f>IF(RIGHT(C82,1)="K", LEFT(C82,LEN(C82)-1)*1000,C82)</f>
        <v>60070</v>
      </c>
      <c r="Q82" s="1" t="str">
        <f>IF(LEFT(D82,1)="M","Male","Female")</f>
        <v>Female</v>
      </c>
      <c r="R82" s="1" t="str">
        <f>TRIM(E82)</f>
        <v>Production Technician I</v>
      </c>
      <c r="S82" s="1" t="str">
        <f>IF(G82="", "To be updated", IF(OR(G82="IT&amp;IS", G82="ITIS"), "IT/IS", G82))</f>
        <v xml:space="preserve">Production       </v>
      </c>
      <c r="T82" s="2">
        <f t="shared" si="5"/>
        <v>16</v>
      </c>
      <c r="U82" s="1">
        <f t="shared" si="6"/>
        <v>3</v>
      </c>
      <c r="V82" s="1">
        <f t="shared" ca="1" si="9"/>
        <v>34</v>
      </c>
    </row>
    <row r="83" spans="1:22" x14ac:dyDescent="0.25">
      <c r="A83" s="1">
        <v>10247</v>
      </c>
      <c r="B83" s="1" t="s">
        <v>126</v>
      </c>
      <c r="C83" s="1">
        <v>48888</v>
      </c>
      <c r="D83" s="1" t="s">
        <v>22</v>
      </c>
      <c r="E83" s="1" t="s">
        <v>63</v>
      </c>
      <c r="F83" s="1" t="s">
        <v>12</v>
      </c>
      <c r="G83" s="1" t="s">
        <v>13</v>
      </c>
      <c r="H83" s="1">
        <v>14</v>
      </c>
      <c r="I83" s="1">
        <v>5</v>
      </c>
      <c r="J83" s="1">
        <v>0</v>
      </c>
      <c r="M83" s="1" t="str">
        <f>SUBSTITUTE(TEXT(B83,"dd/mm/yyyy"),"-","/")</f>
        <v>05/31/1974</v>
      </c>
      <c r="N83" s="3">
        <f t="shared" si="7"/>
        <v>27180</v>
      </c>
      <c r="O83" s="3" t="str">
        <f t="shared" si="8"/>
        <v>31/05/1974</v>
      </c>
      <c r="P83" s="1">
        <f>IF(RIGHT(C83,1)="K", LEFT(C83,LEN(C83)-1)*1000,C83)</f>
        <v>48888</v>
      </c>
      <c r="Q83" s="1" t="str">
        <f>IF(LEFT(D83,1)="M","Male","Female")</f>
        <v>Male</v>
      </c>
      <c r="R83" s="1" t="str">
        <f>TRIM(E83)</f>
        <v>Production Technician I</v>
      </c>
      <c r="S83" s="1" t="str">
        <f>IF(G83="", "To be updated", IF(OR(G83="IT&amp;IS", G83="ITIS"), "IT/IS", G83))</f>
        <v xml:space="preserve">Production       </v>
      </c>
      <c r="T83" s="2">
        <f t="shared" si="5"/>
        <v>14</v>
      </c>
      <c r="U83" s="1">
        <f t="shared" si="6"/>
        <v>5</v>
      </c>
      <c r="V83" s="1">
        <f t="shared" ca="1" si="9"/>
        <v>51</v>
      </c>
    </row>
    <row r="84" spans="1:22" x14ac:dyDescent="0.25">
      <c r="A84" s="1">
        <v>10235</v>
      </c>
      <c r="B84" s="1" t="s">
        <v>125</v>
      </c>
      <c r="C84" s="1">
        <v>54285</v>
      </c>
      <c r="D84" s="1" t="s">
        <v>22</v>
      </c>
      <c r="E84" s="1" t="s">
        <v>63</v>
      </c>
      <c r="F84" s="1" t="s">
        <v>12</v>
      </c>
      <c r="G84" s="1" t="s">
        <v>13</v>
      </c>
      <c r="H84" s="1">
        <v>11</v>
      </c>
      <c r="I84" s="1">
        <v>3</v>
      </c>
      <c r="J84" s="1">
        <v>0</v>
      </c>
      <c r="M84" s="1" t="str">
        <f>SUBSTITUTE(TEXT(B84,"dd/mm/yyyy"),"-","/")</f>
        <v>08/25/1978</v>
      </c>
      <c r="N84" s="3">
        <f t="shared" si="7"/>
        <v>28727</v>
      </c>
      <c r="O84" s="3" t="str">
        <f t="shared" si="8"/>
        <v>25/08/1978</v>
      </c>
      <c r="P84" s="1">
        <f>IF(RIGHT(C84,1)="K", LEFT(C84,LEN(C84)-1)*1000,C84)</f>
        <v>54285</v>
      </c>
      <c r="Q84" s="1" t="str">
        <f>IF(LEFT(D84,1)="M","Male","Female")</f>
        <v>Male</v>
      </c>
      <c r="R84" s="1" t="str">
        <f>TRIM(E84)</f>
        <v>Production Technician I</v>
      </c>
      <c r="S84" s="1" t="str">
        <f>IF(G84="", "To be updated", IF(OR(G84="IT&amp;IS", G84="ITIS"), "IT/IS", G84))</f>
        <v xml:space="preserve">Production       </v>
      </c>
      <c r="T84" s="2">
        <f t="shared" si="5"/>
        <v>11</v>
      </c>
      <c r="U84" s="1">
        <f t="shared" si="6"/>
        <v>3</v>
      </c>
      <c r="V84" s="1">
        <f t="shared" ca="1" si="9"/>
        <v>47</v>
      </c>
    </row>
    <row r="85" spans="1:22" x14ac:dyDescent="0.25">
      <c r="A85" s="1">
        <v>10299</v>
      </c>
      <c r="B85" s="1" t="s">
        <v>127</v>
      </c>
      <c r="C85" s="1">
        <v>56847</v>
      </c>
      <c r="D85" s="1" t="s">
        <v>17</v>
      </c>
      <c r="E85" s="1" t="s">
        <v>18</v>
      </c>
      <c r="F85" s="1" t="s">
        <v>12</v>
      </c>
      <c r="G85" s="1" t="s">
        <v>13</v>
      </c>
      <c r="H85" s="1">
        <v>17</v>
      </c>
      <c r="I85" s="1" t="s">
        <v>66</v>
      </c>
      <c r="J85" s="1">
        <v>0</v>
      </c>
      <c r="M85" s="1" t="str">
        <f>SUBSTITUTE(TEXT(B85,"dd/mm/yyyy"),"-","/")</f>
        <v>08/25/1989</v>
      </c>
      <c r="N85" s="3">
        <f t="shared" si="7"/>
        <v>32745</v>
      </c>
      <c r="O85" s="3" t="str">
        <f t="shared" si="8"/>
        <v>25/08/1989</v>
      </c>
      <c r="P85" s="1">
        <f>IF(RIGHT(C85,1)="K", LEFT(C85,LEN(C85)-1)*1000,C85)</f>
        <v>56847</v>
      </c>
      <c r="Q85" s="1" t="str">
        <f>IF(LEFT(D85,1)="M","Male","Female")</f>
        <v>Female</v>
      </c>
      <c r="R85" s="1" t="str">
        <f>TRIM(E85)</f>
        <v>Production Technician II</v>
      </c>
      <c r="S85" s="1" t="str">
        <f>IF(G85="", "To be updated", IF(OR(G85="IT&amp;IS", G85="ITIS"), "IT/IS", G85))</f>
        <v xml:space="preserve">Production       </v>
      </c>
      <c r="T85" s="2">
        <f t="shared" si="5"/>
        <v>17</v>
      </c>
      <c r="U85" s="1">
        <f t="shared" si="6"/>
        <v>5</v>
      </c>
      <c r="V85" s="1">
        <f t="shared" ca="1" si="9"/>
        <v>36</v>
      </c>
    </row>
    <row r="86" spans="1:22" x14ac:dyDescent="0.25">
      <c r="A86" s="1">
        <v>10280</v>
      </c>
      <c r="B86" s="3">
        <v>30356</v>
      </c>
      <c r="C86" s="1">
        <v>60340</v>
      </c>
      <c r="D86" s="1" t="s">
        <v>22</v>
      </c>
      <c r="E86" s="1" t="s">
        <v>11</v>
      </c>
      <c r="F86" s="1" t="s">
        <v>25</v>
      </c>
      <c r="G86" s="1" t="s">
        <v>13</v>
      </c>
      <c r="H86" s="1">
        <v>15</v>
      </c>
      <c r="I86" s="1">
        <v>4</v>
      </c>
      <c r="J86" s="1">
        <v>0</v>
      </c>
      <c r="M86" s="1" t="str">
        <f>SUBSTITUTE(TEXT(B86,"dd/mm/yyyy"),"-","/")</f>
        <v>09/02/1983</v>
      </c>
      <c r="N86" s="3" t="str">
        <f t="shared" si="7"/>
        <v>09/02/1983</v>
      </c>
      <c r="O86" s="3" t="str">
        <f t="shared" si="8"/>
        <v>09/02/1983</v>
      </c>
      <c r="P86" s="1">
        <f>IF(RIGHT(C86,1)="K", LEFT(C86,LEN(C86)-1)*1000,C86)</f>
        <v>60340</v>
      </c>
      <c r="Q86" s="1" t="str">
        <f>IF(LEFT(D86,1)="M","Male","Female")</f>
        <v>Male</v>
      </c>
      <c r="R86" s="1" t="str">
        <f>TRIM(E86)</f>
        <v>Production Technician I</v>
      </c>
      <c r="S86" s="1" t="str">
        <f>IF(G86="", "To be updated", IF(OR(G86="IT&amp;IS", G86="ITIS"), "IT/IS", G86))</f>
        <v xml:space="preserve">Production       </v>
      </c>
      <c r="T86" s="2">
        <f t="shared" si="5"/>
        <v>15</v>
      </c>
      <c r="U86" s="1">
        <f t="shared" si="6"/>
        <v>4</v>
      </c>
      <c r="V86" s="1">
        <f t="shared" ca="1" si="9"/>
        <v>42</v>
      </c>
    </row>
    <row r="87" spans="1:22" x14ac:dyDescent="0.25">
      <c r="A87" s="1">
        <v>10296</v>
      </c>
      <c r="B87" s="3">
        <v>32664</v>
      </c>
      <c r="C87" s="1">
        <v>59124</v>
      </c>
      <c r="D87" s="1" t="s">
        <v>17</v>
      </c>
      <c r="E87" s="1" t="s">
        <v>11</v>
      </c>
      <c r="F87" s="1" t="s">
        <v>25</v>
      </c>
      <c r="G87" s="1" t="s">
        <v>13</v>
      </c>
      <c r="H87" s="1">
        <v>22</v>
      </c>
      <c r="I87" s="1">
        <v>3</v>
      </c>
      <c r="J87" s="1">
        <v>0</v>
      </c>
      <c r="M87" s="1" t="str">
        <f>SUBSTITUTE(TEXT(B87,"dd/mm/yyyy"),"-","/")</f>
        <v>05/06/1989</v>
      </c>
      <c r="N87" s="3" t="str">
        <f t="shared" si="7"/>
        <v>05/06/1989</v>
      </c>
      <c r="O87" s="3" t="str">
        <f t="shared" si="8"/>
        <v>05/06/1989</v>
      </c>
      <c r="P87" s="1">
        <f>IF(RIGHT(C87,1)="K", LEFT(C87,LEN(C87)-1)*1000,C87)</f>
        <v>59124</v>
      </c>
      <c r="Q87" s="1" t="str">
        <f>IF(LEFT(D87,1)="M","Male","Female")</f>
        <v>Female</v>
      </c>
      <c r="R87" s="1" t="str">
        <f>TRIM(E87)</f>
        <v>Production Technician I</v>
      </c>
      <c r="S87" s="1" t="str">
        <f>IF(G87="", "To be updated", IF(OR(G87="IT&amp;IS", G87="ITIS"), "IT/IS", G87))</f>
        <v xml:space="preserve">Production       </v>
      </c>
      <c r="T87" s="2">
        <f t="shared" si="5"/>
        <v>22</v>
      </c>
      <c r="U87" s="1">
        <f t="shared" si="6"/>
        <v>3</v>
      </c>
      <c r="V87" s="1">
        <f t="shared" ca="1" si="9"/>
        <v>36</v>
      </c>
    </row>
    <row r="88" spans="1:22" x14ac:dyDescent="0.25">
      <c r="A88" s="1">
        <v>10290</v>
      </c>
      <c r="B88" s="1" t="s">
        <v>128</v>
      </c>
      <c r="C88" s="1">
        <v>99280</v>
      </c>
      <c r="D88" s="1" t="s">
        <v>17</v>
      </c>
      <c r="E88" s="1" t="s">
        <v>20</v>
      </c>
      <c r="F88" s="1" t="s">
        <v>25</v>
      </c>
      <c r="G88" s="1" t="s">
        <v>21</v>
      </c>
      <c r="H88" s="1">
        <v>13</v>
      </c>
      <c r="I88" s="1">
        <v>5</v>
      </c>
      <c r="J88" s="1">
        <v>4</v>
      </c>
      <c r="M88" s="1" t="str">
        <f>SUBSTITUTE(TEXT(B88,"dd/mm/yyyy"),"-","/")</f>
        <v>05/15/1987</v>
      </c>
      <c r="N88" s="3">
        <f t="shared" si="7"/>
        <v>31912</v>
      </c>
      <c r="O88" s="3" t="str">
        <f t="shared" si="8"/>
        <v>15/05/1987</v>
      </c>
      <c r="P88" s="1">
        <f>IF(RIGHT(C88,1)="K", LEFT(C88,LEN(C88)-1)*1000,C88)</f>
        <v>99280</v>
      </c>
      <c r="Q88" s="1" t="str">
        <f>IF(LEFT(D88,1)="M","Male","Female")</f>
        <v>Female</v>
      </c>
      <c r="R88" s="1" t="str">
        <f>TRIM(E88)</f>
        <v>Software Engineer</v>
      </c>
      <c r="S88" s="1" t="str">
        <f>IF(G88="", "To be updated", IF(OR(G88="IT&amp;IS", G88="ITIS"), "IT/IS", G88))</f>
        <v>Software Engineering</v>
      </c>
      <c r="T88" s="2">
        <f t="shared" si="5"/>
        <v>13</v>
      </c>
      <c r="U88" s="1">
        <f t="shared" si="6"/>
        <v>5</v>
      </c>
      <c r="V88" s="1">
        <f t="shared" ca="1" si="9"/>
        <v>38</v>
      </c>
    </row>
    <row r="89" spans="1:22" x14ac:dyDescent="0.25">
      <c r="A89" s="1">
        <v>10263</v>
      </c>
      <c r="B89" s="1" t="s">
        <v>129</v>
      </c>
      <c r="C89" s="1">
        <v>71776</v>
      </c>
      <c r="D89" s="1" t="s">
        <v>17</v>
      </c>
      <c r="E89" s="1" t="s">
        <v>18</v>
      </c>
      <c r="F89" s="1" t="s">
        <v>12</v>
      </c>
      <c r="G89" s="1" t="s">
        <v>13</v>
      </c>
      <c r="H89" s="1">
        <v>12</v>
      </c>
      <c r="I89" s="1">
        <v>5</v>
      </c>
      <c r="J89" s="1">
        <v>0</v>
      </c>
      <c r="M89" s="1" t="str">
        <f>SUBSTITUTE(TEXT(B89,"dd/mm/yyyy"),"-","/")</f>
        <v>09/22/1978</v>
      </c>
      <c r="N89" s="3">
        <f t="shared" si="7"/>
        <v>28755</v>
      </c>
      <c r="O89" s="3" t="str">
        <f t="shared" si="8"/>
        <v>22/09/1978</v>
      </c>
      <c r="P89" s="1">
        <f>IF(RIGHT(C89,1)="K", LEFT(C89,LEN(C89)-1)*1000,C89)</f>
        <v>71776</v>
      </c>
      <c r="Q89" s="1" t="str">
        <f>IF(LEFT(D89,1)="M","Male","Female")</f>
        <v>Female</v>
      </c>
      <c r="R89" s="1" t="str">
        <f>TRIM(E89)</f>
        <v>Production Technician II</v>
      </c>
      <c r="S89" s="1" t="str">
        <f>IF(G89="", "To be updated", IF(OR(G89="IT&amp;IS", G89="ITIS"), "IT/IS", G89))</f>
        <v xml:space="preserve">Production       </v>
      </c>
      <c r="T89" s="2">
        <f t="shared" si="5"/>
        <v>12</v>
      </c>
      <c r="U89" s="1">
        <f t="shared" si="6"/>
        <v>5</v>
      </c>
      <c r="V89" s="1">
        <f t="shared" ca="1" si="9"/>
        <v>47</v>
      </c>
    </row>
    <row r="90" spans="1:22" x14ac:dyDescent="0.25">
      <c r="A90" s="1">
        <v>10136</v>
      </c>
      <c r="B90" s="1" t="s">
        <v>130</v>
      </c>
      <c r="C90" s="1">
        <v>65902</v>
      </c>
      <c r="D90" s="1" t="s">
        <v>17</v>
      </c>
      <c r="E90" s="1" t="s">
        <v>18</v>
      </c>
      <c r="F90" s="1" t="s">
        <v>12</v>
      </c>
      <c r="G90" s="1" t="s">
        <v>13</v>
      </c>
      <c r="H90" s="1">
        <v>11</v>
      </c>
      <c r="I90" s="1">
        <v>4</v>
      </c>
      <c r="J90" s="1">
        <v>0</v>
      </c>
      <c r="M90" s="1" t="str">
        <f>SUBSTITUTE(TEXT(B90,"dd/mm/yyyy"),"-","/")</f>
        <v>09/27/1987</v>
      </c>
      <c r="N90" s="3">
        <f t="shared" si="7"/>
        <v>32047</v>
      </c>
      <c r="O90" s="3" t="str">
        <f t="shared" si="8"/>
        <v>27/09/1987</v>
      </c>
      <c r="P90" s="1">
        <f>IF(RIGHT(C90,1)="K", LEFT(C90,LEN(C90)-1)*1000,C90)</f>
        <v>65902</v>
      </c>
      <c r="Q90" s="1" t="str">
        <f>IF(LEFT(D90,1)="M","Male","Female")</f>
        <v>Female</v>
      </c>
      <c r="R90" s="1" t="str">
        <f>TRIM(E90)</f>
        <v>Production Technician II</v>
      </c>
      <c r="S90" s="1" t="str">
        <f>IF(G90="", "To be updated", IF(OR(G90="IT&amp;IS", G90="ITIS"), "IT/IS", G90))</f>
        <v xml:space="preserve">Production       </v>
      </c>
      <c r="T90" s="2">
        <f t="shared" si="5"/>
        <v>11</v>
      </c>
      <c r="U90" s="1">
        <f t="shared" si="6"/>
        <v>4</v>
      </c>
      <c r="V90" s="1">
        <f t="shared" ca="1" si="9"/>
        <v>37</v>
      </c>
    </row>
    <row r="91" spans="1:22" x14ac:dyDescent="0.25">
      <c r="A91" s="1">
        <v>10189</v>
      </c>
      <c r="B91" s="1" t="s">
        <v>131</v>
      </c>
      <c r="C91" s="1">
        <v>57748</v>
      </c>
      <c r="D91" s="1" t="s">
        <v>17</v>
      </c>
      <c r="E91" s="1" t="s">
        <v>11</v>
      </c>
      <c r="F91" s="1" t="s">
        <v>15</v>
      </c>
      <c r="G91" s="1" t="s">
        <v>13</v>
      </c>
      <c r="H91" s="1">
        <v>13</v>
      </c>
      <c r="I91" s="1">
        <v>3</v>
      </c>
      <c r="J91" s="1">
        <v>0</v>
      </c>
      <c r="M91" s="1" t="str">
        <f>SUBSTITUTE(TEXT(B91,"dd/mm/yyyy"),"-","/")</f>
        <v>04/14/1955</v>
      </c>
      <c r="N91" s="3">
        <f t="shared" si="7"/>
        <v>20193</v>
      </c>
      <c r="O91" s="3" t="str">
        <f t="shared" si="8"/>
        <v>14/04/1955</v>
      </c>
      <c r="P91" s="1">
        <f>IF(RIGHT(C91,1)="K", LEFT(C91,LEN(C91)-1)*1000,C91)</f>
        <v>57748</v>
      </c>
      <c r="Q91" s="1" t="str">
        <f>IF(LEFT(D91,1)="M","Male","Female")</f>
        <v>Female</v>
      </c>
      <c r="R91" s="1" t="str">
        <f>TRIM(E91)</f>
        <v>Production Technician I</v>
      </c>
      <c r="S91" s="1" t="str">
        <f>IF(G91="", "To be updated", IF(OR(G91="IT&amp;IS", G91="ITIS"), "IT/IS", G91))</f>
        <v xml:space="preserve">Production       </v>
      </c>
      <c r="T91" s="2">
        <f t="shared" si="5"/>
        <v>13</v>
      </c>
      <c r="U91" s="1">
        <f t="shared" si="6"/>
        <v>3</v>
      </c>
      <c r="V91" s="1">
        <f t="shared" ca="1" si="9"/>
        <v>70</v>
      </c>
    </row>
    <row r="92" spans="1:22" x14ac:dyDescent="0.25">
      <c r="A92" s="1">
        <v>10308</v>
      </c>
      <c r="B92" s="1" t="s">
        <v>132</v>
      </c>
      <c r="C92" s="1">
        <v>64057</v>
      </c>
      <c r="D92" s="1" t="s">
        <v>22</v>
      </c>
      <c r="E92" s="1" t="s">
        <v>11</v>
      </c>
      <c r="F92" s="1" t="s">
        <v>12</v>
      </c>
      <c r="G92" s="1" t="s">
        <v>13</v>
      </c>
      <c r="H92" s="1">
        <v>14</v>
      </c>
      <c r="I92" s="1">
        <v>5</v>
      </c>
      <c r="J92" s="1">
        <v>0</v>
      </c>
      <c r="M92" s="1" t="str">
        <f>SUBSTITUTE(TEXT(B92,"dd/mm/yyyy"),"-","/")</f>
        <v>10/18/1989</v>
      </c>
      <c r="N92" s="3">
        <f t="shared" si="7"/>
        <v>32799</v>
      </c>
      <c r="O92" s="3" t="str">
        <f t="shared" si="8"/>
        <v>18/10/1989</v>
      </c>
      <c r="P92" s="1">
        <f>IF(RIGHT(C92,1)="K", LEFT(C92,LEN(C92)-1)*1000,C92)</f>
        <v>64057</v>
      </c>
      <c r="Q92" s="1" t="str">
        <f>IF(LEFT(D92,1)="M","Male","Female")</f>
        <v>Male</v>
      </c>
      <c r="R92" s="1" t="str">
        <f>TRIM(E92)</f>
        <v>Production Technician I</v>
      </c>
      <c r="S92" s="1" t="str">
        <f>IF(G92="", "To be updated", IF(OR(G92="IT&amp;IS", G92="ITIS"), "IT/IS", G92))</f>
        <v xml:space="preserve">Production       </v>
      </c>
      <c r="T92" s="2">
        <f t="shared" si="5"/>
        <v>14</v>
      </c>
      <c r="U92" s="1">
        <f t="shared" si="6"/>
        <v>5</v>
      </c>
      <c r="V92" s="1">
        <f t="shared" ca="1" si="9"/>
        <v>35</v>
      </c>
    </row>
    <row r="93" spans="1:22" x14ac:dyDescent="0.25">
      <c r="A93" s="1">
        <v>10309</v>
      </c>
      <c r="B93" s="1" t="s">
        <v>133</v>
      </c>
      <c r="C93" s="1">
        <v>53366</v>
      </c>
      <c r="D93" s="1" t="s">
        <v>22</v>
      </c>
      <c r="E93" s="1" t="s">
        <v>41</v>
      </c>
      <c r="F93" s="1" t="s">
        <v>12</v>
      </c>
      <c r="G93" s="1" t="s">
        <v>16</v>
      </c>
      <c r="H93" s="1">
        <v>13</v>
      </c>
      <c r="I93" s="1">
        <v>3</v>
      </c>
      <c r="J93" s="1">
        <v>6</v>
      </c>
      <c r="M93" s="1" t="str">
        <f>SUBSTITUTE(TEXT(B93,"dd/mm/yyyy"),"-","/")</f>
        <v>06/18/1987</v>
      </c>
      <c r="N93" s="3">
        <f t="shared" si="7"/>
        <v>31946</v>
      </c>
      <c r="O93" s="3" t="str">
        <f t="shared" si="8"/>
        <v>18/06/1987</v>
      </c>
      <c r="P93" s="1">
        <f>IF(RIGHT(C93,1)="K", LEFT(C93,LEN(C93)-1)*1000,C93)</f>
        <v>53366</v>
      </c>
      <c r="Q93" s="1" t="str">
        <f>IF(LEFT(D93,1)="M","Male","Female")</f>
        <v>Male</v>
      </c>
      <c r="R93" s="1" t="str">
        <f>TRIM(E93)</f>
        <v>Network Engineer</v>
      </c>
      <c r="S93" s="1" t="str">
        <f>IF(G93="", "To be updated", IF(OR(G93="IT&amp;IS", G93="ITIS"), "IT/IS", G93))</f>
        <v>IT/IS</v>
      </c>
      <c r="T93" s="2">
        <f t="shared" si="5"/>
        <v>13</v>
      </c>
      <c r="U93" s="1">
        <f t="shared" si="6"/>
        <v>3</v>
      </c>
      <c r="V93" s="1">
        <f t="shared" ca="1" si="9"/>
        <v>38</v>
      </c>
    </row>
    <row r="94" spans="1:22" x14ac:dyDescent="0.25">
      <c r="A94" s="1">
        <v>10049</v>
      </c>
      <c r="B94" s="1" t="s">
        <v>134</v>
      </c>
      <c r="C94" s="1">
        <v>58530</v>
      </c>
      <c r="D94" s="1" t="s">
        <v>17</v>
      </c>
      <c r="E94" s="1" t="s">
        <v>11</v>
      </c>
      <c r="F94" s="1" t="s">
        <v>12</v>
      </c>
      <c r="G94" s="1" t="s">
        <v>13</v>
      </c>
      <c r="H94" s="1">
        <v>16</v>
      </c>
      <c r="I94" s="1">
        <v>5</v>
      </c>
      <c r="J94" s="1">
        <v>0</v>
      </c>
      <c r="M94" s="1" t="str">
        <f>SUBSTITUTE(TEXT(B94,"dd/mm/yyyy"),"-","/")</f>
        <v>03/16/1981</v>
      </c>
      <c r="N94" s="3">
        <f t="shared" si="7"/>
        <v>29661</v>
      </c>
      <c r="O94" s="3" t="str">
        <f t="shared" si="8"/>
        <v>16/03/1981</v>
      </c>
      <c r="P94" s="1">
        <f>IF(RIGHT(C94,1)="K", LEFT(C94,LEN(C94)-1)*1000,C94)</f>
        <v>58530</v>
      </c>
      <c r="Q94" s="1" t="str">
        <f>IF(LEFT(D94,1)="M","Male","Female")</f>
        <v>Female</v>
      </c>
      <c r="R94" s="1" t="str">
        <f>TRIM(E94)</f>
        <v>Production Technician I</v>
      </c>
      <c r="S94" s="1" t="str">
        <f>IF(G94="", "To be updated", IF(OR(G94="IT&amp;IS", G94="ITIS"), "IT/IS", G94))</f>
        <v xml:space="preserve">Production       </v>
      </c>
      <c r="T94" s="2">
        <f t="shared" si="5"/>
        <v>16</v>
      </c>
      <c r="U94" s="1">
        <f t="shared" si="6"/>
        <v>5</v>
      </c>
      <c r="V94" s="1">
        <f t="shared" ca="1" si="9"/>
        <v>44</v>
      </c>
    </row>
    <row r="95" spans="1:22" x14ac:dyDescent="0.25">
      <c r="A95" s="1">
        <v>10093</v>
      </c>
      <c r="B95" s="3">
        <v>29596</v>
      </c>
      <c r="C95" s="1">
        <v>72609</v>
      </c>
      <c r="D95" s="1" t="s">
        <v>22</v>
      </c>
      <c r="E95" s="1" t="s">
        <v>18</v>
      </c>
      <c r="F95" s="1" t="s">
        <v>15</v>
      </c>
      <c r="G95" s="1" t="s">
        <v>13</v>
      </c>
      <c r="H95" s="1">
        <v>11</v>
      </c>
      <c r="I95" s="1">
        <v>5</v>
      </c>
      <c r="J95" s="1">
        <v>0</v>
      </c>
      <c r="M95" s="1" t="str">
        <f>SUBSTITUTE(TEXT(B95,"dd/mm/yyyy"),"-","/")</f>
        <v>10/01/1981</v>
      </c>
      <c r="N95" s="3" t="str">
        <f t="shared" si="7"/>
        <v>10/01/1981</v>
      </c>
      <c r="O95" s="3" t="str">
        <f t="shared" si="8"/>
        <v>10/01/1981</v>
      </c>
      <c r="P95" s="1">
        <f>IF(RIGHT(C95,1)="K", LEFT(C95,LEN(C95)-1)*1000,C95)</f>
        <v>72609</v>
      </c>
      <c r="Q95" s="1" t="str">
        <f>IF(LEFT(D95,1)="M","Male","Female")</f>
        <v>Male</v>
      </c>
      <c r="R95" s="1" t="str">
        <f>TRIM(E95)</f>
        <v>Production Technician II</v>
      </c>
      <c r="S95" s="1" t="str">
        <f>IF(G95="", "To be updated", IF(OR(G95="IT&amp;IS", G95="ITIS"), "IT/IS", G95))</f>
        <v xml:space="preserve">Production       </v>
      </c>
      <c r="T95" s="2">
        <f t="shared" si="5"/>
        <v>11</v>
      </c>
      <c r="U95" s="1">
        <f t="shared" si="6"/>
        <v>5</v>
      </c>
      <c r="V95" s="1">
        <f t="shared" ca="1" si="9"/>
        <v>44</v>
      </c>
    </row>
    <row r="96" spans="1:22" x14ac:dyDescent="0.25">
      <c r="A96" s="1">
        <v>10163</v>
      </c>
      <c r="B96" s="3">
        <v>30539</v>
      </c>
      <c r="C96" s="1">
        <v>55965</v>
      </c>
      <c r="D96" s="1" t="s">
        <v>17</v>
      </c>
      <c r="E96" s="1" t="s">
        <v>18</v>
      </c>
      <c r="F96" s="1" t="s">
        <v>15</v>
      </c>
      <c r="G96" s="1" t="s">
        <v>13</v>
      </c>
      <c r="H96" s="1">
        <v>13</v>
      </c>
      <c r="I96" s="1">
        <v>3</v>
      </c>
      <c r="J96" s="1">
        <v>0</v>
      </c>
      <c r="M96" s="1" t="str">
        <f>SUBSTITUTE(TEXT(B96,"dd/mm/yyyy"),"-","/")</f>
        <v>11/08/1983</v>
      </c>
      <c r="N96" s="3" t="str">
        <f t="shared" si="7"/>
        <v>11/08/1983</v>
      </c>
      <c r="O96" s="3" t="str">
        <f t="shared" si="8"/>
        <v>11/08/1983</v>
      </c>
      <c r="P96" s="1">
        <f>IF(RIGHT(C96,1)="K", LEFT(C96,LEN(C96)-1)*1000,C96)</f>
        <v>55965</v>
      </c>
      <c r="Q96" s="1" t="str">
        <f>IF(LEFT(D96,1)="M","Male","Female")</f>
        <v>Female</v>
      </c>
      <c r="R96" s="1" t="str">
        <f>TRIM(E96)</f>
        <v>Production Technician II</v>
      </c>
      <c r="S96" s="1" t="str">
        <f>IF(G96="", "To be updated", IF(OR(G96="IT&amp;IS", G96="ITIS"), "IT/IS", G96))</f>
        <v xml:space="preserve">Production       </v>
      </c>
      <c r="T96" s="2">
        <f t="shared" si="5"/>
        <v>13</v>
      </c>
      <c r="U96" s="1">
        <f t="shared" si="6"/>
        <v>3</v>
      </c>
      <c r="V96" s="1">
        <f t="shared" ca="1" si="9"/>
        <v>42</v>
      </c>
    </row>
    <row r="97" spans="1:22" x14ac:dyDescent="0.25">
      <c r="A97" s="1">
        <v>10305</v>
      </c>
      <c r="B97" s="3">
        <v>27582</v>
      </c>
      <c r="C97" s="1">
        <v>70187</v>
      </c>
      <c r="D97" s="1" t="s">
        <v>22</v>
      </c>
      <c r="E97" s="1" t="s">
        <v>32</v>
      </c>
      <c r="F97" s="1" t="s">
        <v>25</v>
      </c>
      <c r="G97" s="1" t="s">
        <v>33</v>
      </c>
      <c r="H97" s="1">
        <v>14</v>
      </c>
      <c r="I97" s="1">
        <v>5</v>
      </c>
      <c r="J97" s="1">
        <v>0</v>
      </c>
      <c r="M97" s="1" t="str">
        <f>SUBSTITUTE(TEXT(B97,"dd/mm/yyyy"),"-","/")</f>
        <v>07/07/1975</v>
      </c>
      <c r="N97" s="3" t="str">
        <f t="shared" si="7"/>
        <v>07/07/1975</v>
      </c>
      <c r="O97" s="3" t="str">
        <f t="shared" si="8"/>
        <v>07/07/1975</v>
      </c>
      <c r="P97" s="1">
        <f>IF(RIGHT(C97,1)="K", LEFT(C97,LEN(C97)-1)*1000,C97)</f>
        <v>70187</v>
      </c>
      <c r="Q97" s="1" t="str">
        <f>IF(LEFT(D97,1)="M","Male","Female")</f>
        <v>Male</v>
      </c>
      <c r="R97" s="1" t="str">
        <f>TRIM(E97)</f>
        <v>Area Sales Manager</v>
      </c>
      <c r="S97" s="1" t="str">
        <f>IF(G97="", "To be updated", IF(OR(G97="IT&amp;IS", G97="ITIS"), "IT/IS", G97))</f>
        <v>Sales</v>
      </c>
      <c r="T97" s="2">
        <f t="shared" si="5"/>
        <v>14</v>
      </c>
      <c r="U97" s="1">
        <f t="shared" si="6"/>
        <v>5</v>
      </c>
      <c r="V97" s="1">
        <f t="shared" ca="1" si="9"/>
        <v>50</v>
      </c>
    </row>
    <row r="98" spans="1:22" x14ac:dyDescent="0.25">
      <c r="A98" s="1">
        <v>10015</v>
      </c>
      <c r="B98" s="3">
        <v>29348</v>
      </c>
      <c r="C98" s="1">
        <v>178000</v>
      </c>
      <c r="D98" s="1" t="s">
        <v>22</v>
      </c>
      <c r="E98" s="1" t="s">
        <v>42</v>
      </c>
      <c r="F98" s="1" t="s">
        <v>12</v>
      </c>
      <c r="G98" s="1" t="s">
        <v>16</v>
      </c>
      <c r="H98" s="1">
        <v>12</v>
      </c>
      <c r="I98" s="1">
        <v>5</v>
      </c>
      <c r="J98" s="1">
        <v>5</v>
      </c>
      <c r="M98" s="1" t="str">
        <f>SUBSTITUTE(TEXT(B98,"dd/mm/yyyy"),"-","/")</f>
        <v>07/05/1980</v>
      </c>
      <c r="N98" s="3" t="str">
        <f t="shared" si="7"/>
        <v>07/05/1980</v>
      </c>
      <c r="O98" s="3" t="str">
        <f t="shared" si="8"/>
        <v>07/05/1980</v>
      </c>
      <c r="P98" s="1">
        <f>IF(RIGHT(C98,1)="K", LEFT(C98,LEN(C98)-1)*1000,C98)</f>
        <v>178000</v>
      </c>
      <c r="Q98" s="1" t="str">
        <f>IF(LEFT(D98,1)="M","Male","Female")</f>
        <v>Male</v>
      </c>
      <c r="R98" s="1" t="str">
        <f>TRIM(E98)</f>
        <v>IT Director</v>
      </c>
      <c r="S98" s="1" t="str">
        <f>IF(G98="", "To be updated", IF(OR(G98="IT&amp;IS", G98="ITIS"), "IT/IS", G98))</f>
        <v>IT/IS</v>
      </c>
      <c r="T98" s="2">
        <f t="shared" si="5"/>
        <v>12</v>
      </c>
      <c r="U98" s="1">
        <f t="shared" si="6"/>
        <v>5</v>
      </c>
      <c r="V98" s="1">
        <f t="shared" ca="1" si="9"/>
        <v>45</v>
      </c>
    </row>
    <row r="99" spans="1:22" x14ac:dyDescent="0.25">
      <c r="A99" s="1">
        <v>10080</v>
      </c>
      <c r="B99" s="1" t="s">
        <v>135</v>
      </c>
      <c r="C99" s="1">
        <v>99351</v>
      </c>
      <c r="D99" s="1" t="s">
        <v>17</v>
      </c>
      <c r="E99" s="1" t="s">
        <v>28</v>
      </c>
      <c r="F99" s="1" t="s">
        <v>12</v>
      </c>
      <c r="G99" s="1" t="s">
        <v>29</v>
      </c>
      <c r="H99" s="1">
        <v>11</v>
      </c>
      <c r="I99" s="1">
        <v>3</v>
      </c>
      <c r="J99" s="1">
        <v>2</v>
      </c>
      <c r="M99" s="1" t="str">
        <f>SUBSTITUTE(TEXT(B99,"dd/mm/yyyy"),"-","/")</f>
        <v>04/16/1979</v>
      </c>
      <c r="N99" s="3">
        <f t="shared" si="7"/>
        <v>28961</v>
      </c>
      <c r="O99" s="3" t="str">
        <f t="shared" si="8"/>
        <v>16/04/1979</v>
      </c>
      <c r="P99" s="1">
        <f>IF(RIGHT(C99,1)="K", LEFT(C99,LEN(C99)-1)*1000,C99)</f>
        <v>99351</v>
      </c>
      <c r="Q99" s="1" t="str">
        <f>IF(LEFT(D99,1)="M","Male","Female")</f>
        <v>Female</v>
      </c>
      <c r="R99" s="1" t="str">
        <f>TRIM(E99)</f>
        <v>Sr. Accountant</v>
      </c>
      <c r="S99" s="1" t="str">
        <f>IF(G99="", "To be updated", IF(OR(G99="IT&amp;IS", G99="ITIS"), "IT/IS", G99))</f>
        <v>Admin Offices</v>
      </c>
      <c r="T99" s="2">
        <f t="shared" si="5"/>
        <v>11</v>
      </c>
      <c r="U99" s="1">
        <f t="shared" si="6"/>
        <v>3</v>
      </c>
      <c r="V99" s="1">
        <f t="shared" ca="1" si="9"/>
        <v>46</v>
      </c>
    </row>
    <row r="100" spans="1:22" x14ac:dyDescent="0.25">
      <c r="A100" s="1">
        <v>10258</v>
      </c>
      <c r="B100" s="1" t="s">
        <v>136</v>
      </c>
      <c r="C100" s="1">
        <v>67251</v>
      </c>
      <c r="D100" s="1" t="s">
        <v>22</v>
      </c>
      <c r="E100" s="1" t="s">
        <v>32</v>
      </c>
      <c r="F100" s="1" t="s">
        <v>12</v>
      </c>
      <c r="G100" s="1" t="s">
        <v>33</v>
      </c>
      <c r="H100" s="1">
        <v>11</v>
      </c>
      <c r="I100" s="1">
        <v>3</v>
      </c>
      <c r="J100" s="1">
        <v>0</v>
      </c>
      <c r="M100" s="1" t="str">
        <f>SUBSTITUTE(TEXT(B100,"dd/mm/yyyy"),"-","/")</f>
        <v>08/28/1963</v>
      </c>
      <c r="N100" s="3">
        <f t="shared" si="7"/>
        <v>23251</v>
      </c>
      <c r="O100" s="3" t="str">
        <f t="shared" si="8"/>
        <v>28/08/1963</v>
      </c>
      <c r="P100" s="1">
        <f>IF(RIGHT(C100,1)="K", LEFT(C100,LEN(C100)-1)*1000,C100)</f>
        <v>67251</v>
      </c>
      <c r="Q100" s="1" t="str">
        <f>IF(LEFT(D100,1)="M","Male","Female")</f>
        <v>Male</v>
      </c>
      <c r="R100" s="1" t="str">
        <f>TRIM(E100)</f>
        <v>Area Sales Manager</v>
      </c>
      <c r="S100" s="1" t="str">
        <f>IF(G100="", "To be updated", IF(OR(G100="IT&amp;IS", G100="ITIS"), "IT/IS", G100))</f>
        <v>Sales</v>
      </c>
      <c r="T100" s="2">
        <f t="shared" si="5"/>
        <v>11</v>
      </c>
      <c r="U100" s="1">
        <f t="shared" si="6"/>
        <v>3</v>
      </c>
      <c r="V100" s="1">
        <f t="shared" ca="1" si="9"/>
        <v>62</v>
      </c>
    </row>
    <row r="101" spans="1:22" x14ac:dyDescent="0.25">
      <c r="A101" s="1">
        <v>10273</v>
      </c>
      <c r="B101" s="3">
        <v>24996</v>
      </c>
      <c r="C101" s="1">
        <v>65707</v>
      </c>
      <c r="D101" s="1" t="s">
        <v>17</v>
      </c>
      <c r="E101" s="1" t="s">
        <v>23</v>
      </c>
      <c r="F101" s="1" t="s">
        <v>12</v>
      </c>
      <c r="G101" s="1" t="s">
        <v>16</v>
      </c>
      <c r="H101" s="1">
        <v>18</v>
      </c>
      <c r="I101" s="1">
        <v>4</v>
      </c>
      <c r="J101" s="1">
        <v>5</v>
      </c>
      <c r="M101" s="1" t="str">
        <f>SUBSTITUTE(TEXT(B101,"dd/mm/yyyy"),"-","/")</f>
        <v>07/06/1968</v>
      </c>
      <c r="N101" s="3" t="str">
        <f t="shared" si="7"/>
        <v>07/06/1968</v>
      </c>
      <c r="O101" s="3" t="str">
        <f t="shared" si="8"/>
        <v>07/06/1968</v>
      </c>
      <c r="P101" s="1">
        <f>IF(RIGHT(C101,1)="K", LEFT(C101,LEN(C101)-1)*1000,C101)</f>
        <v>65707</v>
      </c>
      <c r="Q101" s="1" t="str">
        <f>IF(LEFT(D101,1)="M","Male","Female")</f>
        <v>Female</v>
      </c>
      <c r="R101" s="1" t="str">
        <f>TRIM(E101)</f>
        <v>IT Support</v>
      </c>
      <c r="S101" s="1" t="str">
        <f>IF(G101="", "To be updated", IF(OR(G101="IT&amp;IS", G101="ITIS"), "IT/IS", G101))</f>
        <v>IT/IS</v>
      </c>
      <c r="T101" s="2">
        <f t="shared" si="5"/>
        <v>18</v>
      </c>
      <c r="U101" s="1">
        <f t="shared" si="6"/>
        <v>4</v>
      </c>
      <c r="V101" s="1">
        <f t="shared" ca="1" si="9"/>
        <v>57</v>
      </c>
    </row>
    <row r="102" spans="1:22" x14ac:dyDescent="0.25">
      <c r="A102" s="1">
        <v>10111</v>
      </c>
      <c r="B102" s="1" t="s">
        <v>137</v>
      </c>
      <c r="C102" s="1">
        <v>52249</v>
      </c>
      <c r="D102" s="1" t="s">
        <v>22</v>
      </c>
      <c r="E102" s="1" t="s">
        <v>11</v>
      </c>
      <c r="F102" s="1" t="s">
        <v>12</v>
      </c>
      <c r="G102" s="1" t="s">
        <v>13</v>
      </c>
      <c r="H102" s="1">
        <v>12</v>
      </c>
      <c r="I102" s="1">
        <v>3</v>
      </c>
      <c r="J102" s="1">
        <v>0</v>
      </c>
      <c r="M102" s="1" t="str">
        <f>SUBSTITUTE(TEXT(B102,"dd/mm/yyyy"),"-","/")</f>
        <v>09/15/1985</v>
      </c>
      <c r="N102" s="3">
        <f t="shared" si="7"/>
        <v>31305</v>
      </c>
      <c r="O102" s="3" t="str">
        <f t="shared" si="8"/>
        <v>15/09/1985</v>
      </c>
      <c r="P102" s="1">
        <f>IF(RIGHT(C102,1)="K", LEFT(C102,LEN(C102)-1)*1000,C102)</f>
        <v>52249</v>
      </c>
      <c r="Q102" s="1" t="str">
        <f>IF(LEFT(D102,1)="M","Male","Female")</f>
        <v>Male</v>
      </c>
      <c r="R102" s="1" t="str">
        <f>TRIM(E102)</f>
        <v>Production Technician I</v>
      </c>
      <c r="S102" s="1" t="str">
        <f>IF(G102="", "To be updated", IF(OR(G102="IT&amp;IS", G102="ITIS"), "IT/IS", G102))</f>
        <v xml:space="preserve">Production       </v>
      </c>
      <c r="T102" s="2">
        <f t="shared" si="5"/>
        <v>12</v>
      </c>
      <c r="U102" s="1">
        <f t="shared" si="6"/>
        <v>3</v>
      </c>
      <c r="V102" s="1">
        <f t="shared" ca="1" si="9"/>
        <v>40</v>
      </c>
    </row>
    <row r="103" spans="1:22" x14ac:dyDescent="0.25">
      <c r="A103" s="1">
        <v>10257</v>
      </c>
      <c r="B103" s="3">
        <v>30359</v>
      </c>
      <c r="C103" s="1">
        <v>53171</v>
      </c>
      <c r="D103" s="1" t="s">
        <v>17</v>
      </c>
      <c r="E103" s="1" t="s">
        <v>11</v>
      </c>
      <c r="F103" s="1" t="s">
        <v>12</v>
      </c>
      <c r="G103" s="1" t="s">
        <v>13</v>
      </c>
      <c r="H103" s="1">
        <v>12</v>
      </c>
      <c r="I103" s="1">
        <v>4</v>
      </c>
      <c r="J103" s="1">
        <v>0</v>
      </c>
      <c r="M103" s="1" t="str">
        <f>SUBSTITUTE(TEXT(B103,"dd/mm/yyyy"),"-","/")</f>
        <v>12/02/1983</v>
      </c>
      <c r="N103" s="3" t="str">
        <f t="shared" si="7"/>
        <v>12/02/1983</v>
      </c>
      <c r="O103" s="3" t="str">
        <f t="shared" si="8"/>
        <v>12/02/1983</v>
      </c>
      <c r="P103" s="1">
        <f>IF(RIGHT(C103,1)="K", LEFT(C103,LEN(C103)-1)*1000,C103)</f>
        <v>53171</v>
      </c>
      <c r="Q103" s="1" t="str">
        <f>IF(LEFT(D103,1)="M","Male","Female")</f>
        <v>Female</v>
      </c>
      <c r="R103" s="1" t="str">
        <f>TRIM(E103)</f>
        <v>Production Technician I</v>
      </c>
      <c r="S103" s="1" t="str">
        <f>IF(G103="", "To be updated", IF(OR(G103="IT&amp;IS", G103="ITIS"), "IT/IS", G103))</f>
        <v xml:space="preserve">Production       </v>
      </c>
      <c r="T103" s="2">
        <f t="shared" si="5"/>
        <v>12</v>
      </c>
      <c r="U103" s="1">
        <f t="shared" si="6"/>
        <v>4</v>
      </c>
      <c r="V103" s="1">
        <f t="shared" ca="1" si="9"/>
        <v>42</v>
      </c>
    </row>
    <row r="104" spans="1:22" x14ac:dyDescent="0.25">
      <c r="A104" s="1">
        <v>10159</v>
      </c>
      <c r="B104" s="3">
        <v>32883</v>
      </c>
      <c r="C104" s="1">
        <v>51337</v>
      </c>
      <c r="D104" s="1" t="s">
        <v>17</v>
      </c>
      <c r="E104" s="1" t="s">
        <v>11</v>
      </c>
      <c r="F104" s="1" t="s">
        <v>12</v>
      </c>
      <c r="G104" s="1" t="s">
        <v>64</v>
      </c>
      <c r="H104" s="1">
        <v>11</v>
      </c>
      <c r="I104" s="1">
        <v>3</v>
      </c>
      <c r="J104" s="1">
        <v>0</v>
      </c>
      <c r="M104" s="1" t="str">
        <f>SUBSTITUTE(TEXT(B104,"dd/mm/yyyy"),"-","/")</f>
        <v>10/01/1990</v>
      </c>
      <c r="N104" s="3" t="str">
        <f t="shared" si="7"/>
        <v>10/01/1990</v>
      </c>
      <c r="O104" s="3" t="str">
        <f t="shared" si="8"/>
        <v>10/01/1990</v>
      </c>
      <c r="P104" s="1">
        <f>IF(RIGHT(C104,1)="K", LEFT(C104,LEN(C104)-1)*1000,C104)</f>
        <v>51337</v>
      </c>
      <c r="Q104" s="1" t="str">
        <f>IF(LEFT(D104,1)="M","Male","Female")</f>
        <v>Female</v>
      </c>
      <c r="R104" s="1" t="str">
        <f>TRIM(E104)</f>
        <v>Production Technician I</v>
      </c>
      <c r="S104" s="1" t="str">
        <f>IF(G104="", "To be updated", IF(OR(G104="IT&amp;IS", G104="ITIS"), "IT/IS", G104))</f>
        <v>IT/IS</v>
      </c>
      <c r="T104" s="2">
        <f t="shared" si="5"/>
        <v>11</v>
      </c>
      <c r="U104" s="1">
        <f t="shared" si="6"/>
        <v>3</v>
      </c>
      <c r="V104" s="1">
        <f t="shared" ca="1" si="9"/>
        <v>35</v>
      </c>
    </row>
    <row r="105" spans="1:22" x14ac:dyDescent="0.25">
      <c r="A105" s="1">
        <v>10122</v>
      </c>
      <c r="B105" s="1" t="s">
        <v>138</v>
      </c>
      <c r="C105" s="1">
        <v>51505</v>
      </c>
      <c r="D105" s="1" t="s">
        <v>17</v>
      </c>
      <c r="E105" s="1" t="s">
        <v>11</v>
      </c>
      <c r="F105" s="1" t="s">
        <v>15</v>
      </c>
      <c r="G105" s="1" t="s">
        <v>13</v>
      </c>
      <c r="H105" s="1">
        <v>13</v>
      </c>
      <c r="I105" s="1">
        <v>4</v>
      </c>
      <c r="J105" s="1">
        <v>0</v>
      </c>
      <c r="M105" s="1" t="str">
        <f>SUBSTITUTE(TEXT(B105,"dd/mm/yyyy"),"-","/")</f>
        <v>05/15/1970</v>
      </c>
      <c r="N105" s="3">
        <f t="shared" si="7"/>
        <v>25703</v>
      </c>
      <c r="O105" s="3" t="str">
        <f t="shared" si="8"/>
        <v>15/05/1970</v>
      </c>
      <c r="P105" s="1">
        <f>IF(RIGHT(C105,1)="K", LEFT(C105,LEN(C105)-1)*1000,C105)</f>
        <v>51505</v>
      </c>
      <c r="Q105" s="1" t="str">
        <f>IF(LEFT(D105,1)="M","Male","Female")</f>
        <v>Female</v>
      </c>
      <c r="R105" s="1" t="str">
        <f>TRIM(E105)</f>
        <v>Production Technician I</v>
      </c>
      <c r="S105" s="1" t="str">
        <f>IF(G105="", "To be updated", IF(OR(G105="IT&amp;IS", G105="ITIS"), "IT/IS", G105))</f>
        <v xml:space="preserve">Production       </v>
      </c>
      <c r="T105" s="2">
        <f t="shared" si="5"/>
        <v>13</v>
      </c>
      <c r="U105" s="1">
        <f t="shared" si="6"/>
        <v>4</v>
      </c>
      <c r="V105" s="1">
        <f t="shared" ca="1" si="9"/>
        <v>55</v>
      </c>
    </row>
    <row r="106" spans="1:22" x14ac:dyDescent="0.25">
      <c r="A106" s="1">
        <v>10142</v>
      </c>
      <c r="B106" s="3">
        <v>26213</v>
      </c>
      <c r="C106" s="1">
        <v>59370</v>
      </c>
      <c r="D106" s="1" t="s">
        <v>17</v>
      </c>
      <c r="E106" s="1" t="s">
        <v>32</v>
      </c>
      <c r="F106" s="1" t="s">
        <v>25</v>
      </c>
      <c r="G106" s="1" t="s">
        <v>33</v>
      </c>
      <c r="H106" s="1">
        <v>11</v>
      </c>
      <c r="I106" s="1">
        <v>4</v>
      </c>
      <c r="J106" s="1">
        <v>0</v>
      </c>
      <c r="M106" s="1" t="str">
        <f>SUBSTITUTE(TEXT(B106,"dd/mm/yyyy"),"-","/")</f>
        <v>07/10/1971</v>
      </c>
      <c r="N106" s="3" t="str">
        <f t="shared" si="7"/>
        <v>07/10/1971</v>
      </c>
      <c r="O106" s="3" t="str">
        <f t="shared" si="8"/>
        <v>07/10/1971</v>
      </c>
      <c r="P106" s="1">
        <f>IF(RIGHT(C106,1)="K", LEFT(C106,LEN(C106)-1)*1000,C106)</f>
        <v>59370</v>
      </c>
      <c r="Q106" s="1" t="str">
        <f>IF(LEFT(D106,1)="M","Male","Female")</f>
        <v>Female</v>
      </c>
      <c r="R106" s="1" t="str">
        <f>TRIM(E106)</f>
        <v>Area Sales Manager</v>
      </c>
      <c r="S106" s="1" t="str">
        <f>IF(G106="", "To be updated", IF(OR(G106="IT&amp;IS", G106="ITIS"), "IT/IS", G106))</f>
        <v>Sales</v>
      </c>
      <c r="T106" s="2">
        <f t="shared" si="5"/>
        <v>11</v>
      </c>
      <c r="U106" s="1">
        <f t="shared" si="6"/>
        <v>4</v>
      </c>
      <c r="V106" s="1">
        <f t="shared" ca="1" si="9"/>
        <v>53</v>
      </c>
    </row>
    <row r="107" spans="1:22" x14ac:dyDescent="0.25">
      <c r="A107" s="1">
        <v>10283</v>
      </c>
      <c r="B107" s="3">
        <v>27280</v>
      </c>
      <c r="C107" s="1">
        <v>54933</v>
      </c>
      <c r="D107" s="1" t="s">
        <v>22</v>
      </c>
      <c r="E107" s="1" t="s">
        <v>11</v>
      </c>
      <c r="F107" s="1" t="s">
        <v>15</v>
      </c>
      <c r="G107" s="1" t="s">
        <v>13</v>
      </c>
      <c r="H107" s="1">
        <v>22</v>
      </c>
      <c r="I107" s="1">
        <v>4</v>
      </c>
      <c r="J107" s="1">
        <v>0</v>
      </c>
      <c r="M107" s="1" t="str">
        <f>SUBSTITUTE(TEXT(B107,"dd/mm/yyyy"),"-","/")</f>
        <v>08/09/1974</v>
      </c>
      <c r="N107" s="3" t="str">
        <f t="shared" si="7"/>
        <v>08/09/1974</v>
      </c>
      <c r="O107" s="3" t="str">
        <f t="shared" si="8"/>
        <v>08/09/1974</v>
      </c>
      <c r="P107" s="1">
        <f>IF(RIGHT(C107,1)="K", LEFT(C107,LEN(C107)-1)*1000,C107)</f>
        <v>54933</v>
      </c>
      <c r="Q107" s="1" t="str">
        <f>IF(LEFT(D107,1)="M","Male","Female")</f>
        <v>Male</v>
      </c>
      <c r="R107" s="1" t="str">
        <f>TRIM(E107)</f>
        <v>Production Technician I</v>
      </c>
      <c r="S107" s="1" t="str">
        <f>IF(G107="", "To be updated", IF(OR(G107="IT&amp;IS", G107="ITIS"), "IT/IS", G107))</f>
        <v xml:space="preserve">Production       </v>
      </c>
      <c r="T107" s="2">
        <f t="shared" si="5"/>
        <v>22</v>
      </c>
      <c r="U107" s="1">
        <f t="shared" si="6"/>
        <v>4</v>
      </c>
      <c r="V107" s="1">
        <f t="shared" ca="1" si="9"/>
        <v>51</v>
      </c>
    </row>
    <row r="108" spans="1:22" x14ac:dyDescent="0.25">
      <c r="A108" s="1">
        <v>10018</v>
      </c>
      <c r="B108" s="3">
        <v>29438</v>
      </c>
      <c r="C108" s="1">
        <v>57815</v>
      </c>
      <c r="D108" s="1" t="s">
        <v>17</v>
      </c>
      <c r="E108" s="1" t="s">
        <v>11</v>
      </c>
      <c r="F108" s="1" t="s">
        <v>12</v>
      </c>
      <c r="G108" s="1" t="s">
        <v>13</v>
      </c>
      <c r="H108" s="1">
        <v>23</v>
      </c>
      <c r="I108" s="1">
        <v>4</v>
      </c>
      <c r="J108" s="1">
        <v>0</v>
      </c>
      <c r="M108" s="1" t="str">
        <f>SUBSTITUTE(TEXT(B108,"dd/mm/yyyy"),"-","/")</f>
        <v>05/08/1980</v>
      </c>
      <c r="N108" s="3" t="str">
        <f t="shared" si="7"/>
        <v>05/08/1980</v>
      </c>
      <c r="O108" s="3" t="str">
        <f t="shared" si="8"/>
        <v>05/08/1980</v>
      </c>
      <c r="P108" s="1">
        <f>IF(RIGHT(C108,1)="K", LEFT(C108,LEN(C108)-1)*1000,C108)</f>
        <v>57815</v>
      </c>
      <c r="Q108" s="1" t="str">
        <f>IF(LEFT(D108,1)="M","Male","Female")</f>
        <v>Female</v>
      </c>
      <c r="R108" s="1" t="str">
        <f>TRIM(E108)</f>
        <v>Production Technician I</v>
      </c>
      <c r="S108" s="1" t="str">
        <f>IF(G108="", "To be updated", IF(OR(G108="IT&amp;IS", G108="ITIS"), "IT/IS", G108))</f>
        <v xml:space="preserve">Production       </v>
      </c>
      <c r="T108" s="2">
        <f t="shared" si="5"/>
        <v>23</v>
      </c>
      <c r="U108" s="1">
        <f t="shared" si="6"/>
        <v>4</v>
      </c>
      <c r="V108" s="1">
        <f t="shared" ca="1" si="9"/>
        <v>45</v>
      </c>
    </row>
    <row r="109" spans="1:22" x14ac:dyDescent="0.25">
      <c r="A109" s="1">
        <v>10255</v>
      </c>
      <c r="B109" s="1" t="s">
        <v>139</v>
      </c>
      <c r="C109" s="1">
        <v>61555</v>
      </c>
      <c r="D109" s="1" t="s">
        <v>17</v>
      </c>
      <c r="E109" s="1" t="s">
        <v>32</v>
      </c>
      <c r="F109" s="1" t="s">
        <v>12</v>
      </c>
      <c r="G109" s="1" t="s">
        <v>33</v>
      </c>
      <c r="H109" s="1">
        <v>13</v>
      </c>
      <c r="I109" s="1">
        <v>5</v>
      </c>
      <c r="J109" s="1">
        <v>0</v>
      </c>
      <c r="M109" s="1" t="str">
        <f>SUBSTITUTE(TEXT(B109,"dd/mm/yyyy"),"-","/")</f>
        <v>09/22/1989</v>
      </c>
      <c r="N109" s="3">
        <f t="shared" si="7"/>
        <v>32773</v>
      </c>
      <c r="O109" s="3" t="str">
        <f t="shared" si="8"/>
        <v>22/09/1989</v>
      </c>
      <c r="P109" s="1">
        <f>IF(RIGHT(C109,1)="K", LEFT(C109,LEN(C109)-1)*1000,C109)</f>
        <v>61555</v>
      </c>
      <c r="Q109" s="1" t="str">
        <f>IF(LEFT(D109,1)="M","Male","Female")</f>
        <v>Female</v>
      </c>
      <c r="R109" s="1" t="str">
        <f>TRIM(E109)</f>
        <v>Area Sales Manager</v>
      </c>
      <c r="S109" s="1" t="str">
        <f>IF(G109="", "To be updated", IF(OR(G109="IT&amp;IS", G109="ITIS"), "IT/IS", G109))</f>
        <v>Sales</v>
      </c>
      <c r="T109" s="2">
        <f t="shared" si="5"/>
        <v>13</v>
      </c>
      <c r="U109" s="1">
        <f t="shared" si="6"/>
        <v>5</v>
      </c>
      <c r="V109" s="1">
        <f t="shared" ca="1" si="9"/>
        <v>36</v>
      </c>
    </row>
    <row r="110" spans="1:22" x14ac:dyDescent="0.25">
      <c r="A110" s="1">
        <v>10246</v>
      </c>
      <c r="B110" s="1" t="s">
        <v>140</v>
      </c>
      <c r="C110" s="1">
        <v>114800</v>
      </c>
      <c r="D110" s="1" t="s">
        <v>17</v>
      </c>
      <c r="E110" s="1" t="s">
        <v>26</v>
      </c>
      <c r="F110" s="1" t="s">
        <v>25</v>
      </c>
      <c r="G110" s="1" t="s">
        <v>16</v>
      </c>
      <c r="H110" s="1">
        <v>18</v>
      </c>
      <c r="I110" s="1">
        <v>4</v>
      </c>
      <c r="J110" s="1">
        <v>4</v>
      </c>
      <c r="M110" s="1" t="str">
        <f>SUBSTITUTE(TEXT(B110,"dd/mm/yyyy"),"-","/")</f>
        <v>10/23/1971</v>
      </c>
      <c r="N110" s="3">
        <f t="shared" si="7"/>
        <v>26229</v>
      </c>
      <c r="O110" s="3" t="str">
        <f t="shared" si="8"/>
        <v>23/10/1971</v>
      </c>
      <c r="P110" s="1">
        <f>IF(RIGHT(C110,1)="K", LEFT(C110,LEN(C110)-1)*1000,C110)</f>
        <v>114800</v>
      </c>
      <c r="Q110" s="1" t="str">
        <f>IF(LEFT(D110,1)="M","Male","Female")</f>
        <v>Female</v>
      </c>
      <c r="R110" s="1" t="str">
        <f>TRIM(E110)</f>
        <v>Database Administrator</v>
      </c>
      <c r="S110" s="1" t="str">
        <f>IF(G110="", "To be updated", IF(OR(G110="IT&amp;IS", G110="ITIS"), "IT/IS", G110))</f>
        <v>IT/IS</v>
      </c>
      <c r="T110" s="2">
        <f t="shared" si="5"/>
        <v>18</v>
      </c>
      <c r="U110" s="1">
        <f t="shared" si="6"/>
        <v>4</v>
      </c>
      <c r="V110" s="1">
        <f t="shared" ca="1" si="9"/>
        <v>53</v>
      </c>
    </row>
    <row r="111" spans="1:22" x14ac:dyDescent="0.25">
      <c r="A111" s="1">
        <v>10228</v>
      </c>
      <c r="B111" s="1" t="s">
        <v>141</v>
      </c>
      <c r="C111" s="1">
        <v>74679</v>
      </c>
      <c r="D111" s="1" t="s">
        <v>22</v>
      </c>
      <c r="E111" s="1" t="s">
        <v>23</v>
      </c>
      <c r="F111" s="1" t="s">
        <v>12</v>
      </c>
      <c r="G111" s="1" t="s">
        <v>16</v>
      </c>
      <c r="H111" s="1">
        <v>12</v>
      </c>
      <c r="I111" s="1">
        <v>5</v>
      </c>
      <c r="J111" s="1">
        <v>7</v>
      </c>
      <c r="M111" s="1" t="str">
        <f>SUBSTITUTE(TEXT(B111,"dd/mm/yyyy"),"-","/")</f>
        <v>11/24/1989</v>
      </c>
      <c r="N111" s="3">
        <f t="shared" si="7"/>
        <v>32836</v>
      </c>
      <c r="O111" s="3" t="str">
        <f t="shared" si="8"/>
        <v>24/11/1989</v>
      </c>
      <c r="P111" s="1">
        <f>IF(RIGHT(C111,1)="K", LEFT(C111,LEN(C111)-1)*1000,C111)</f>
        <v>74679</v>
      </c>
      <c r="Q111" s="1" t="str">
        <f>IF(LEFT(D111,1)="M","Male","Female")</f>
        <v>Male</v>
      </c>
      <c r="R111" s="1" t="str">
        <f>TRIM(E111)</f>
        <v>IT Support</v>
      </c>
      <c r="S111" s="1" t="str">
        <f>IF(G111="", "To be updated", IF(OR(G111="IT&amp;IS", G111="ITIS"), "IT/IS", G111))</f>
        <v>IT/IS</v>
      </c>
      <c r="T111" s="2">
        <f t="shared" si="5"/>
        <v>12</v>
      </c>
      <c r="U111" s="1">
        <f t="shared" si="6"/>
        <v>5</v>
      </c>
      <c r="V111" s="1">
        <f t="shared" ca="1" si="9"/>
        <v>35</v>
      </c>
    </row>
    <row r="112" spans="1:22" x14ac:dyDescent="0.25">
      <c r="A112" s="1">
        <v>10243</v>
      </c>
      <c r="B112" s="1" t="s">
        <v>142</v>
      </c>
      <c r="C112" s="1">
        <v>53018</v>
      </c>
      <c r="D112" s="1" t="s">
        <v>17</v>
      </c>
      <c r="E112" s="1" t="s">
        <v>11</v>
      </c>
      <c r="F112" s="1" t="s">
        <v>12</v>
      </c>
      <c r="G112" s="1" t="s">
        <v>13</v>
      </c>
      <c r="H112" s="1">
        <v>18</v>
      </c>
      <c r="I112" s="1">
        <v>5</v>
      </c>
      <c r="J112" s="1">
        <v>0</v>
      </c>
      <c r="M112" s="1" t="str">
        <f>SUBSTITUTE(TEXT(B112,"dd/mm/yyyy"),"-","/")</f>
        <v>06/18/1992</v>
      </c>
      <c r="N112" s="3">
        <f t="shared" si="7"/>
        <v>33773</v>
      </c>
      <c r="O112" s="3" t="str">
        <f t="shared" si="8"/>
        <v>18/06/1992</v>
      </c>
      <c r="P112" s="1">
        <f>IF(RIGHT(C112,1)="K", LEFT(C112,LEN(C112)-1)*1000,C112)</f>
        <v>53018</v>
      </c>
      <c r="Q112" s="1" t="str">
        <f>IF(LEFT(D112,1)="M","Male","Female")</f>
        <v>Female</v>
      </c>
      <c r="R112" s="1" t="str">
        <f>TRIM(E112)</f>
        <v>Production Technician I</v>
      </c>
      <c r="S112" s="1" t="str">
        <f>IF(G112="", "To be updated", IF(OR(G112="IT&amp;IS", G112="ITIS"), "IT/IS", G112))</f>
        <v xml:space="preserve">Production       </v>
      </c>
      <c r="T112" s="2">
        <f t="shared" si="5"/>
        <v>18</v>
      </c>
      <c r="U112" s="1">
        <f t="shared" si="6"/>
        <v>5</v>
      </c>
      <c r="V112" s="1">
        <f t="shared" ca="1" si="9"/>
        <v>33</v>
      </c>
    </row>
    <row r="113" spans="1:22" x14ac:dyDescent="0.25">
      <c r="A113" s="1">
        <v>10031</v>
      </c>
      <c r="B113" s="1" t="s">
        <v>143</v>
      </c>
      <c r="C113" s="1">
        <v>59892</v>
      </c>
      <c r="D113" s="1" t="s">
        <v>22</v>
      </c>
      <c r="E113" s="1" t="s">
        <v>11</v>
      </c>
      <c r="F113" s="1" t="s">
        <v>12</v>
      </c>
      <c r="G113" s="1" t="s">
        <v>13</v>
      </c>
      <c r="H113" s="1">
        <v>15</v>
      </c>
      <c r="I113" s="1">
        <v>4</v>
      </c>
      <c r="J113" s="1">
        <v>0</v>
      </c>
      <c r="M113" s="1" t="str">
        <f>SUBSTITUTE(TEXT(B113,"dd/mm/yyyy"),"-","/")</f>
        <v>09/29/1969</v>
      </c>
      <c r="N113" s="3">
        <f t="shared" si="7"/>
        <v>25475</v>
      </c>
      <c r="O113" s="3" t="str">
        <f t="shared" si="8"/>
        <v>29/09/1969</v>
      </c>
      <c r="P113" s="1">
        <f>IF(RIGHT(C113,1)="K", LEFT(C113,LEN(C113)-1)*1000,C113)</f>
        <v>59892</v>
      </c>
      <c r="Q113" s="1" t="str">
        <f>IF(LEFT(D113,1)="M","Male","Female")</f>
        <v>Male</v>
      </c>
      <c r="R113" s="1" t="str">
        <f>TRIM(E113)</f>
        <v>Production Technician I</v>
      </c>
      <c r="S113" s="1" t="str">
        <f>IF(G113="", "To be updated", IF(OR(G113="IT&amp;IS", G113="ITIS"), "IT/IS", G113))</f>
        <v xml:space="preserve">Production       </v>
      </c>
      <c r="T113" s="2">
        <f t="shared" si="5"/>
        <v>15</v>
      </c>
      <c r="U113" s="1">
        <f t="shared" si="6"/>
        <v>4</v>
      </c>
      <c r="V113" s="1">
        <f t="shared" ca="1" si="9"/>
        <v>55</v>
      </c>
    </row>
    <row r="114" spans="1:22" x14ac:dyDescent="0.25">
      <c r="A114" s="1">
        <v>10300</v>
      </c>
      <c r="B114" s="3">
        <v>23721</v>
      </c>
      <c r="C114" s="1">
        <v>68898</v>
      </c>
      <c r="D114" s="1" t="s">
        <v>22</v>
      </c>
      <c r="E114" s="1" t="s">
        <v>18</v>
      </c>
      <c r="F114" s="1" t="s">
        <v>15</v>
      </c>
      <c r="G114" s="1" t="s">
        <v>13</v>
      </c>
      <c r="H114" s="1">
        <v>14</v>
      </c>
      <c r="I114" s="1">
        <v>3</v>
      </c>
      <c r="J114" s="1">
        <v>0</v>
      </c>
      <c r="M114" s="1" t="str">
        <f>SUBSTITUTE(TEXT(B114,"dd/mm/yyyy"),"-","/")</f>
        <v>10/12/1964</v>
      </c>
      <c r="N114" s="3" t="str">
        <f t="shared" si="7"/>
        <v>10/12/1964</v>
      </c>
      <c r="O114" s="3" t="str">
        <f t="shared" si="8"/>
        <v>10/12/1964</v>
      </c>
      <c r="P114" s="1">
        <f>IF(RIGHT(C114,1)="K", LEFT(C114,LEN(C114)-1)*1000,C114)</f>
        <v>68898</v>
      </c>
      <c r="Q114" s="1" t="str">
        <f>IF(LEFT(D114,1)="M","Male","Female")</f>
        <v>Male</v>
      </c>
      <c r="R114" s="1" t="str">
        <f>TRIM(E114)</f>
        <v>Production Technician II</v>
      </c>
      <c r="S114" s="1" t="str">
        <f>IF(G114="", "To be updated", IF(OR(G114="IT&amp;IS", G114="ITIS"), "IT/IS", G114))</f>
        <v xml:space="preserve">Production       </v>
      </c>
      <c r="T114" s="2">
        <f t="shared" si="5"/>
        <v>14</v>
      </c>
      <c r="U114" s="1">
        <f t="shared" si="6"/>
        <v>3</v>
      </c>
      <c r="V114" s="1">
        <f t="shared" ca="1" si="9"/>
        <v>60</v>
      </c>
    </row>
    <row r="115" spans="1:22" x14ac:dyDescent="0.25">
      <c r="A115" s="1">
        <v>10101</v>
      </c>
      <c r="B115" s="1" t="s">
        <v>144</v>
      </c>
      <c r="C115" s="1">
        <v>61242</v>
      </c>
      <c r="D115" s="1" t="s">
        <v>17</v>
      </c>
      <c r="E115" s="1" t="s">
        <v>23</v>
      </c>
      <c r="F115" s="1" t="s">
        <v>12</v>
      </c>
      <c r="G115" s="1" t="s">
        <v>16</v>
      </c>
      <c r="H115" s="1">
        <v>14</v>
      </c>
      <c r="I115" s="1">
        <v>4</v>
      </c>
      <c r="J115" s="1">
        <v>5</v>
      </c>
      <c r="M115" s="1" t="str">
        <f>SUBSTITUTE(TEXT(B115,"dd/mm/yyyy"),"-","/")</f>
        <v>04/16/1981</v>
      </c>
      <c r="N115" s="3">
        <f t="shared" si="7"/>
        <v>29692</v>
      </c>
      <c r="O115" s="3" t="str">
        <f t="shared" si="8"/>
        <v>16/04/1981</v>
      </c>
      <c r="P115" s="1">
        <f>IF(RIGHT(C115,1)="K", LEFT(C115,LEN(C115)-1)*1000,C115)</f>
        <v>61242</v>
      </c>
      <c r="Q115" s="1" t="str">
        <f>IF(LEFT(D115,1)="M","Male","Female")</f>
        <v>Female</v>
      </c>
      <c r="R115" s="1" t="str">
        <f>TRIM(E115)</f>
        <v>IT Support</v>
      </c>
      <c r="S115" s="1" t="str">
        <f>IF(G115="", "To be updated", IF(OR(G115="IT&amp;IS", G115="ITIS"), "IT/IS", G115))</f>
        <v>IT/IS</v>
      </c>
      <c r="T115" s="2">
        <f t="shared" si="5"/>
        <v>14</v>
      </c>
      <c r="U115" s="1">
        <f t="shared" si="6"/>
        <v>4</v>
      </c>
      <c r="V115" s="1">
        <f t="shared" ca="1" si="9"/>
        <v>44</v>
      </c>
    </row>
    <row r="116" spans="1:22" x14ac:dyDescent="0.25">
      <c r="A116" s="1">
        <v>10237</v>
      </c>
      <c r="B116" s="1" t="s">
        <v>145</v>
      </c>
      <c r="C116" s="1">
        <v>66825</v>
      </c>
      <c r="D116" s="1" t="s">
        <v>17</v>
      </c>
      <c r="E116" s="1" t="s">
        <v>18</v>
      </c>
      <c r="F116" s="1" t="s">
        <v>12</v>
      </c>
      <c r="G116" s="1" t="s">
        <v>13</v>
      </c>
      <c r="H116" s="1">
        <v>18</v>
      </c>
      <c r="I116" s="1">
        <v>3</v>
      </c>
      <c r="J116" s="1">
        <v>0</v>
      </c>
      <c r="M116" s="1" t="str">
        <f>SUBSTITUTE(TEXT(B116,"dd/mm/yyyy"),"-","/")</f>
        <v>05/25/1986</v>
      </c>
      <c r="N116" s="3">
        <f t="shared" si="7"/>
        <v>31557</v>
      </c>
      <c r="O116" s="3" t="str">
        <f t="shared" si="8"/>
        <v>25/05/1986</v>
      </c>
      <c r="P116" s="1">
        <f>IF(RIGHT(C116,1)="K", LEFT(C116,LEN(C116)-1)*1000,C116)</f>
        <v>66825</v>
      </c>
      <c r="Q116" s="1" t="str">
        <f>IF(LEFT(D116,1)="M","Male","Female")</f>
        <v>Female</v>
      </c>
      <c r="R116" s="1" t="str">
        <f>TRIM(E116)</f>
        <v>Production Technician II</v>
      </c>
      <c r="S116" s="1" t="str">
        <f>IF(G116="", "To be updated", IF(OR(G116="IT&amp;IS", G116="ITIS"), "IT/IS", G116))</f>
        <v xml:space="preserve">Production       </v>
      </c>
      <c r="T116" s="2">
        <f t="shared" si="5"/>
        <v>18</v>
      </c>
      <c r="U116" s="1">
        <f t="shared" si="6"/>
        <v>3</v>
      </c>
      <c r="V116" s="1">
        <f t="shared" ca="1" si="9"/>
        <v>39</v>
      </c>
    </row>
    <row r="117" spans="1:22" x14ac:dyDescent="0.25">
      <c r="A117" s="1">
        <v>10051</v>
      </c>
      <c r="B117" s="1" t="s">
        <v>146</v>
      </c>
      <c r="C117" s="1">
        <v>48285</v>
      </c>
      <c r="D117" s="1" t="s">
        <v>22</v>
      </c>
      <c r="E117" s="1" t="s">
        <v>11</v>
      </c>
      <c r="F117" s="1" t="s">
        <v>12</v>
      </c>
      <c r="G117" s="1" t="s">
        <v>13</v>
      </c>
      <c r="H117" s="1">
        <v>11</v>
      </c>
      <c r="I117" s="1">
        <v>3</v>
      </c>
      <c r="J117" s="1">
        <v>0</v>
      </c>
      <c r="M117" s="1" t="str">
        <f>SUBSTITUTE(TEXT(B117,"dd/mm/yyyy"),"-","/")</f>
        <v>05/21/1979</v>
      </c>
      <c r="N117" s="3">
        <f t="shared" si="7"/>
        <v>28996</v>
      </c>
      <c r="O117" s="3" t="str">
        <f t="shared" si="8"/>
        <v>21/05/1979</v>
      </c>
      <c r="P117" s="1">
        <f>IF(RIGHT(C117,1)="K", LEFT(C117,LEN(C117)-1)*1000,C117)</f>
        <v>48285</v>
      </c>
      <c r="Q117" s="1" t="str">
        <f>IF(LEFT(D117,1)="M","Male","Female")</f>
        <v>Male</v>
      </c>
      <c r="R117" s="1" t="str">
        <f>TRIM(E117)</f>
        <v>Production Technician I</v>
      </c>
      <c r="S117" s="1" t="str">
        <f>IF(G117="", "To be updated", IF(OR(G117="IT&amp;IS", G117="ITIS"), "IT/IS", G117))</f>
        <v xml:space="preserve">Production       </v>
      </c>
      <c r="T117" s="2">
        <f t="shared" si="5"/>
        <v>11</v>
      </c>
      <c r="U117" s="1">
        <f t="shared" si="6"/>
        <v>3</v>
      </c>
      <c r="V117" s="1">
        <f t="shared" ca="1" si="9"/>
        <v>46</v>
      </c>
    </row>
    <row r="118" spans="1:22" x14ac:dyDescent="0.25">
      <c r="A118" s="1">
        <v>10218</v>
      </c>
      <c r="B118" s="3">
        <v>30540</v>
      </c>
      <c r="C118" s="1">
        <v>66149</v>
      </c>
      <c r="D118" s="1" t="s">
        <v>17</v>
      </c>
      <c r="E118" s="1" t="s">
        <v>18</v>
      </c>
      <c r="F118" s="1" t="s">
        <v>12</v>
      </c>
      <c r="G118" s="1" t="s">
        <v>13</v>
      </c>
      <c r="H118" s="1">
        <v>11</v>
      </c>
      <c r="I118" s="1">
        <v>5</v>
      </c>
      <c r="J118" s="1">
        <v>0</v>
      </c>
      <c r="M118" s="1" t="str">
        <f>SUBSTITUTE(TEXT(B118,"dd/mm/yyyy"),"-","/")</f>
        <v>12/08/1983</v>
      </c>
      <c r="N118" s="3" t="str">
        <f t="shared" si="7"/>
        <v>12/08/1983</v>
      </c>
      <c r="O118" s="3" t="str">
        <f t="shared" si="8"/>
        <v>12/08/1983</v>
      </c>
      <c r="P118" s="1">
        <f>IF(RIGHT(C118,1)="K", LEFT(C118,LEN(C118)-1)*1000,C118)</f>
        <v>66149</v>
      </c>
      <c r="Q118" s="1" t="str">
        <f>IF(LEFT(D118,1)="M","Male","Female")</f>
        <v>Female</v>
      </c>
      <c r="R118" s="1" t="str">
        <f>TRIM(E118)</f>
        <v>Production Technician II</v>
      </c>
      <c r="S118" s="1" t="str">
        <f>IF(G118="", "To be updated", IF(OR(G118="IT&amp;IS", G118="ITIS"), "IT/IS", G118))</f>
        <v xml:space="preserve">Production       </v>
      </c>
      <c r="T118" s="2">
        <f t="shared" si="5"/>
        <v>11</v>
      </c>
      <c r="U118" s="1">
        <f t="shared" si="6"/>
        <v>5</v>
      </c>
      <c r="V118" s="1">
        <f t="shared" ca="1" si="9"/>
        <v>42</v>
      </c>
    </row>
    <row r="119" spans="1:22" x14ac:dyDescent="0.25">
      <c r="A119" s="1">
        <v>10256</v>
      </c>
      <c r="B119" s="3">
        <v>27282</v>
      </c>
      <c r="C119" s="1">
        <v>49256</v>
      </c>
      <c r="D119" s="1" t="s">
        <v>17</v>
      </c>
      <c r="E119" s="1" t="s">
        <v>11</v>
      </c>
      <c r="F119" s="1" t="s">
        <v>12</v>
      </c>
      <c r="G119" s="1" t="s">
        <v>13</v>
      </c>
      <c r="H119" s="1">
        <v>11</v>
      </c>
      <c r="I119" s="1">
        <v>5</v>
      </c>
      <c r="J119" s="1">
        <v>0</v>
      </c>
      <c r="M119" s="1" t="str">
        <f>SUBSTITUTE(TEXT(B119,"dd/mm/yyyy"),"-","/")</f>
        <v>10/09/1974</v>
      </c>
      <c r="N119" s="3" t="str">
        <f t="shared" si="7"/>
        <v>10/09/1974</v>
      </c>
      <c r="O119" s="3" t="str">
        <f t="shared" si="8"/>
        <v>10/09/1974</v>
      </c>
      <c r="P119" s="1">
        <f>IF(RIGHT(C119,1)="K", LEFT(C119,LEN(C119)-1)*1000,C119)</f>
        <v>49256</v>
      </c>
      <c r="Q119" s="1" t="str">
        <f>IF(LEFT(D119,1)="M","Male","Female")</f>
        <v>Female</v>
      </c>
      <c r="R119" s="1" t="str">
        <f>TRIM(E119)</f>
        <v>Production Technician I</v>
      </c>
      <c r="S119" s="1" t="str">
        <f>IF(G119="", "To be updated", IF(OR(G119="IT&amp;IS", G119="ITIS"), "IT/IS", G119))</f>
        <v xml:space="preserve">Production       </v>
      </c>
      <c r="T119" s="2">
        <f t="shared" si="5"/>
        <v>11</v>
      </c>
      <c r="U119" s="1">
        <f t="shared" si="6"/>
        <v>5</v>
      </c>
      <c r="V119" s="1">
        <f t="shared" ca="1" si="9"/>
        <v>51</v>
      </c>
    </row>
    <row r="120" spans="1:22" x14ac:dyDescent="0.25">
      <c r="A120" s="1">
        <v>10098</v>
      </c>
      <c r="B120" s="3">
        <v>29897</v>
      </c>
      <c r="C120" s="1">
        <v>62957</v>
      </c>
      <c r="D120" s="1" t="s">
        <v>22</v>
      </c>
      <c r="E120" s="1" t="s">
        <v>30</v>
      </c>
      <c r="F120" s="1" t="s">
        <v>12</v>
      </c>
      <c r="G120" s="1" t="s">
        <v>13</v>
      </c>
      <c r="H120" s="1">
        <v>12</v>
      </c>
      <c r="I120" s="1">
        <v>3</v>
      </c>
      <c r="J120" s="1">
        <v>0</v>
      </c>
      <c r="M120" s="1" t="str">
        <f>SUBSTITUTE(TEXT(B120,"dd/mm/yyyy"),"-","/")</f>
        <v>07/11/1981</v>
      </c>
      <c r="N120" s="3" t="str">
        <f t="shared" si="7"/>
        <v>07/11/1981</v>
      </c>
      <c r="O120" s="3" t="str">
        <f t="shared" si="8"/>
        <v>07/11/1981</v>
      </c>
      <c r="P120" s="1">
        <f>IF(RIGHT(C120,1)="K", LEFT(C120,LEN(C120)-1)*1000,C120)</f>
        <v>62957</v>
      </c>
      <c r="Q120" s="1" t="str">
        <f>IF(LEFT(D120,1)="M","Male","Female")</f>
        <v>Male</v>
      </c>
      <c r="R120" s="1" t="str">
        <f>TRIM(E120)</f>
        <v>Production Manager</v>
      </c>
      <c r="S120" s="1" t="str">
        <f>IF(G120="", "To be updated", IF(OR(G120="IT&amp;IS", G120="ITIS"), "IT/IS", G120))</f>
        <v xml:space="preserve">Production       </v>
      </c>
      <c r="T120" s="2">
        <f t="shared" si="5"/>
        <v>12</v>
      </c>
      <c r="U120" s="1">
        <f t="shared" si="6"/>
        <v>3</v>
      </c>
      <c r="V120" s="1">
        <f t="shared" ca="1" si="9"/>
        <v>43</v>
      </c>
    </row>
    <row r="121" spans="1:22" x14ac:dyDescent="0.25">
      <c r="A121" s="1">
        <v>10059</v>
      </c>
      <c r="B121" s="1" t="s">
        <v>147</v>
      </c>
      <c r="C121" s="1">
        <v>63813</v>
      </c>
      <c r="D121" s="1" t="s">
        <v>17</v>
      </c>
      <c r="E121" s="1" t="s">
        <v>11</v>
      </c>
      <c r="F121" s="1" t="s">
        <v>15</v>
      </c>
      <c r="G121" s="1" t="s">
        <v>13</v>
      </c>
      <c r="H121" s="1">
        <v>17</v>
      </c>
      <c r="I121" s="1">
        <v>5</v>
      </c>
      <c r="J121" s="1">
        <v>0</v>
      </c>
      <c r="M121" s="1" t="str">
        <f>SUBSTITUTE(TEXT(B121,"dd/mm/yyyy"),"-","/")</f>
        <v>05/21/1983</v>
      </c>
      <c r="N121" s="3">
        <f t="shared" si="7"/>
        <v>30457</v>
      </c>
      <c r="O121" s="3" t="str">
        <f t="shared" si="8"/>
        <v>21/05/1983</v>
      </c>
      <c r="P121" s="1">
        <f>IF(RIGHT(C121,1)="K", LEFT(C121,LEN(C121)-1)*1000,C121)</f>
        <v>63813</v>
      </c>
      <c r="Q121" s="1" t="str">
        <f>IF(LEFT(D121,1)="M","Male","Female")</f>
        <v>Female</v>
      </c>
      <c r="R121" s="1" t="str">
        <f>TRIM(E121)</f>
        <v>Production Technician I</v>
      </c>
      <c r="S121" s="1" t="str">
        <f>IF(G121="", "To be updated", IF(OR(G121="IT&amp;IS", G121="ITIS"), "IT/IS", G121))</f>
        <v xml:space="preserve">Production       </v>
      </c>
      <c r="T121" s="2">
        <f t="shared" si="5"/>
        <v>17</v>
      </c>
      <c r="U121" s="1">
        <f t="shared" si="6"/>
        <v>5</v>
      </c>
      <c r="V121" s="1">
        <f t="shared" ca="1" si="9"/>
        <v>42</v>
      </c>
    </row>
    <row r="122" spans="1:22" x14ac:dyDescent="0.25">
      <c r="A122" s="1">
        <v>10234</v>
      </c>
      <c r="B122" s="1" t="s">
        <v>148</v>
      </c>
      <c r="C122" s="1">
        <v>99020</v>
      </c>
      <c r="D122" s="1" t="s">
        <v>22</v>
      </c>
      <c r="E122" s="1" t="s">
        <v>39</v>
      </c>
      <c r="F122" s="1" t="s">
        <v>12</v>
      </c>
      <c r="G122" s="1" t="s">
        <v>16</v>
      </c>
      <c r="H122" s="1">
        <v>14</v>
      </c>
      <c r="I122" s="1" t="s">
        <v>66</v>
      </c>
      <c r="J122" s="1">
        <v>5</v>
      </c>
      <c r="M122" s="1" t="str">
        <f>SUBSTITUTE(TEXT(B122,"dd/mm/yyyy"),"-","/")</f>
        <v>06/30/1989</v>
      </c>
      <c r="N122" s="3">
        <f t="shared" si="7"/>
        <v>32689</v>
      </c>
      <c r="O122" s="3" t="str">
        <f t="shared" si="8"/>
        <v>30/06/1989</v>
      </c>
      <c r="P122" s="1">
        <f>IF(RIGHT(C122,1)="K", LEFT(C122,LEN(C122)-1)*1000,C122)</f>
        <v>99020</v>
      </c>
      <c r="Q122" s="1" t="str">
        <f>IF(LEFT(D122,1)="M","Male","Female")</f>
        <v>Male</v>
      </c>
      <c r="R122" s="1" t="str">
        <f>TRIM(E122)</f>
        <v>BI Developer</v>
      </c>
      <c r="S122" s="1" t="str">
        <f>IF(G122="", "To be updated", IF(OR(G122="IT&amp;IS", G122="ITIS"), "IT/IS", G122))</f>
        <v>IT/IS</v>
      </c>
      <c r="T122" s="2">
        <f t="shared" si="5"/>
        <v>14</v>
      </c>
      <c r="U122" s="1">
        <f t="shared" si="6"/>
        <v>5</v>
      </c>
      <c r="V122" s="1">
        <f t="shared" ca="1" si="9"/>
        <v>36</v>
      </c>
    </row>
    <row r="123" spans="1:22" x14ac:dyDescent="0.25">
      <c r="A123" s="1">
        <v>10109</v>
      </c>
      <c r="B123" s="3">
        <v>25448</v>
      </c>
      <c r="C123" s="1">
        <v>71707</v>
      </c>
      <c r="D123" s="1" t="s">
        <v>22</v>
      </c>
      <c r="E123" s="1" t="s">
        <v>32</v>
      </c>
      <c r="F123" s="1" t="s">
        <v>15</v>
      </c>
      <c r="G123" s="1" t="s">
        <v>33</v>
      </c>
      <c r="H123" s="1">
        <v>19</v>
      </c>
      <c r="I123" s="1">
        <v>5</v>
      </c>
      <c r="J123" s="1">
        <v>0</v>
      </c>
      <c r="M123" s="1" t="str">
        <f>SUBSTITUTE(TEXT(B123,"dd/mm/yyyy"),"-","/")</f>
        <v>02/09/1969</v>
      </c>
      <c r="N123" s="3" t="str">
        <f t="shared" si="7"/>
        <v>02/09/1969</v>
      </c>
      <c r="O123" s="3" t="str">
        <f t="shared" si="8"/>
        <v>02/09/1969</v>
      </c>
      <c r="P123" s="1">
        <f>IF(RIGHT(C123,1)="K", LEFT(C123,LEN(C123)-1)*1000,C123)</f>
        <v>71707</v>
      </c>
      <c r="Q123" s="1" t="str">
        <f>IF(LEFT(D123,1)="M","Male","Female")</f>
        <v>Male</v>
      </c>
      <c r="R123" s="1" t="str">
        <f>TRIM(E123)</f>
        <v>Area Sales Manager</v>
      </c>
      <c r="S123" s="1" t="str">
        <f>IF(G123="", "To be updated", IF(OR(G123="IT&amp;IS", G123="ITIS"), "IT/IS", G123))</f>
        <v>Sales</v>
      </c>
      <c r="T123" s="2">
        <f t="shared" si="5"/>
        <v>19</v>
      </c>
      <c r="U123" s="1">
        <f t="shared" si="6"/>
        <v>5</v>
      </c>
      <c r="V123" s="1">
        <f t="shared" ca="1" si="9"/>
        <v>56</v>
      </c>
    </row>
    <row r="124" spans="1:22" x14ac:dyDescent="0.25">
      <c r="A124" s="1">
        <v>10125</v>
      </c>
      <c r="B124" s="1" t="s">
        <v>149</v>
      </c>
      <c r="C124" s="1">
        <v>54828</v>
      </c>
      <c r="D124" s="1" t="s">
        <v>17</v>
      </c>
      <c r="E124" s="1" t="s">
        <v>11</v>
      </c>
      <c r="F124" s="1" t="s">
        <v>12</v>
      </c>
      <c r="G124" s="1" t="s">
        <v>13</v>
      </c>
      <c r="H124" s="1">
        <v>22</v>
      </c>
      <c r="I124" s="1">
        <v>4</v>
      </c>
      <c r="J124" s="1">
        <v>0</v>
      </c>
      <c r="M124" s="1" t="str">
        <f>SUBSTITUTE(TEXT(B124,"dd/mm/yyyy"),"-","/")</f>
        <v>03/23/1977</v>
      </c>
      <c r="N124" s="3">
        <f t="shared" si="7"/>
        <v>28207</v>
      </c>
      <c r="O124" s="3" t="str">
        <f t="shared" si="8"/>
        <v>23/03/1977</v>
      </c>
      <c r="P124" s="1">
        <f>IF(RIGHT(C124,1)="K", LEFT(C124,LEN(C124)-1)*1000,C124)</f>
        <v>54828</v>
      </c>
      <c r="Q124" s="1" t="str">
        <f>IF(LEFT(D124,1)="M","Male","Female")</f>
        <v>Female</v>
      </c>
      <c r="R124" s="1" t="str">
        <f>TRIM(E124)</f>
        <v>Production Technician I</v>
      </c>
      <c r="S124" s="1" t="str">
        <f>IF(G124="", "To be updated", IF(OR(G124="IT&amp;IS", G124="ITIS"), "IT/IS", G124))</f>
        <v xml:space="preserve">Production       </v>
      </c>
      <c r="T124" s="2">
        <f t="shared" si="5"/>
        <v>22</v>
      </c>
      <c r="U124" s="1">
        <f t="shared" si="6"/>
        <v>4</v>
      </c>
      <c r="V124" s="1">
        <f t="shared" ca="1" si="9"/>
        <v>48</v>
      </c>
    </row>
    <row r="125" spans="1:22" x14ac:dyDescent="0.25">
      <c r="A125" s="1">
        <v>10074</v>
      </c>
      <c r="B125" s="3">
        <v>32424</v>
      </c>
      <c r="C125" s="1" t="s">
        <v>56</v>
      </c>
      <c r="D125" s="1" t="s">
        <v>22</v>
      </c>
      <c r="E125" s="1" t="s">
        <v>18</v>
      </c>
      <c r="F125" s="1" t="s">
        <v>12</v>
      </c>
      <c r="G125" s="1" t="s">
        <v>13</v>
      </c>
      <c r="H125" s="1">
        <v>12</v>
      </c>
      <c r="I125" s="1">
        <v>3</v>
      </c>
      <c r="J125" s="1">
        <v>0</v>
      </c>
      <c r="M125" s="1" t="str">
        <f>SUBSTITUTE(TEXT(B125,"dd/mm/yyyy"),"-","/")</f>
        <v>08/10/1988</v>
      </c>
      <c r="N125" s="3" t="str">
        <f t="shared" si="7"/>
        <v>08/10/1988</v>
      </c>
      <c r="O125" s="3" t="str">
        <f t="shared" si="8"/>
        <v>08/10/1988</v>
      </c>
      <c r="P125" s="1">
        <f>IF(RIGHT(C125,1)="K", LEFT(C125,LEN(C125)-1)*1000,C125)</f>
        <v>64000</v>
      </c>
      <c r="Q125" s="1" t="str">
        <f>IF(LEFT(D125,1)="M","Male","Female")</f>
        <v>Male</v>
      </c>
      <c r="R125" s="1" t="str">
        <f>TRIM(E125)</f>
        <v>Production Technician II</v>
      </c>
      <c r="S125" s="1" t="str">
        <f>IF(G125="", "To be updated", IF(OR(G125="IT&amp;IS", G125="ITIS"), "IT/IS", G125))</f>
        <v xml:space="preserve">Production       </v>
      </c>
      <c r="T125" s="2">
        <f t="shared" si="5"/>
        <v>12</v>
      </c>
      <c r="U125" s="1">
        <f t="shared" si="6"/>
        <v>3</v>
      </c>
      <c r="V125" s="1">
        <f t="shared" ca="1" si="9"/>
        <v>36</v>
      </c>
    </row>
    <row r="126" spans="1:22" x14ac:dyDescent="0.25">
      <c r="A126" s="1">
        <v>10097</v>
      </c>
      <c r="B126" s="1" t="s">
        <v>150</v>
      </c>
      <c r="C126" s="1">
        <v>52177</v>
      </c>
      <c r="D126" s="1" t="s">
        <v>17</v>
      </c>
      <c r="E126" s="1" t="s">
        <v>11</v>
      </c>
      <c r="F126" s="1" t="s">
        <v>15</v>
      </c>
      <c r="G126" s="1" t="s">
        <v>13</v>
      </c>
      <c r="H126" s="1">
        <v>19</v>
      </c>
      <c r="I126" s="1">
        <v>4</v>
      </c>
      <c r="J126" s="1">
        <v>0</v>
      </c>
      <c r="M126" s="1" t="str">
        <f>SUBSTITUTE(TEXT(B126,"dd/mm/yyyy"),"-","/")</f>
        <v>08/18/1952</v>
      </c>
      <c r="N126" s="3">
        <f t="shared" si="7"/>
        <v>19224</v>
      </c>
      <c r="O126" s="3" t="str">
        <f t="shared" si="8"/>
        <v>18/08/1952</v>
      </c>
      <c r="P126" s="1">
        <f>IF(RIGHT(C126,1)="K", LEFT(C126,LEN(C126)-1)*1000,C126)</f>
        <v>52177</v>
      </c>
      <c r="Q126" s="1" t="str">
        <f>IF(LEFT(D126,1)="M","Male","Female")</f>
        <v>Female</v>
      </c>
      <c r="R126" s="1" t="str">
        <f>TRIM(E126)</f>
        <v>Production Technician I</v>
      </c>
      <c r="S126" s="1" t="str">
        <f>IF(G126="", "To be updated", IF(OR(G126="IT&amp;IS", G126="ITIS"), "IT/IS", G126))</f>
        <v xml:space="preserve">Production       </v>
      </c>
      <c r="T126" s="2">
        <f t="shared" si="5"/>
        <v>19</v>
      </c>
      <c r="U126" s="1">
        <f t="shared" si="6"/>
        <v>4</v>
      </c>
      <c r="V126" s="1">
        <f t="shared" ca="1" si="9"/>
        <v>73</v>
      </c>
    </row>
    <row r="127" spans="1:22" x14ac:dyDescent="0.25">
      <c r="A127" s="1">
        <v>10007</v>
      </c>
      <c r="B127" s="3">
        <v>27065</v>
      </c>
      <c r="C127" s="1">
        <v>62065</v>
      </c>
      <c r="D127" s="1" t="s">
        <v>17</v>
      </c>
      <c r="E127" s="1" t="s">
        <v>11</v>
      </c>
      <c r="F127" s="1" t="s">
        <v>12</v>
      </c>
      <c r="G127" s="1" t="s">
        <v>13</v>
      </c>
      <c r="H127" s="1">
        <v>19</v>
      </c>
      <c r="I127" s="1">
        <v>4</v>
      </c>
      <c r="J127" s="1">
        <v>0</v>
      </c>
      <c r="M127" s="1" t="str">
        <f>SUBSTITUTE(TEXT(B127,"dd/mm/yyyy"),"-","/")</f>
        <v>05/02/1974</v>
      </c>
      <c r="N127" s="3" t="str">
        <f t="shared" si="7"/>
        <v>05/02/1974</v>
      </c>
      <c r="O127" s="3" t="str">
        <f t="shared" si="8"/>
        <v>05/02/1974</v>
      </c>
      <c r="P127" s="1">
        <f>IF(RIGHT(C127,1)="K", LEFT(C127,LEN(C127)-1)*1000,C127)</f>
        <v>62065</v>
      </c>
      <c r="Q127" s="1" t="str">
        <f>IF(LEFT(D127,1)="M","Male","Female")</f>
        <v>Female</v>
      </c>
      <c r="R127" s="1" t="str">
        <f>TRIM(E127)</f>
        <v>Production Technician I</v>
      </c>
      <c r="S127" s="1" t="str">
        <f>IF(G127="", "To be updated", IF(OR(G127="IT&amp;IS", G127="ITIS"), "IT/IS", G127))</f>
        <v xml:space="preserve">Production       </v>
      </c>
      <c r="T127" s="2">
        <f t="shared" si="5"/>
        <v>19</v>
      </c>
      <c r="U127" s="1">
        <f t="shared" si="6"/>
        <v>4</v>
      </c>
      <c r="V127" s="1">
        <f t="shared" ca="1" si="9"/>
        <v>51</v>
      </c>
    </row>
    <row r="128" spans="1:22" x14ac:dyDescent="0.25">
      <c r="A128" s="1">
        <v>10129</v>
      </c>
      <c r="B128" s="3">
        <v>30773</v>
      </c>
      <c r="C128" s="1">
        <v>46998</v>
      </c>
      <c r="D128" s="1" t="s">
        <v>22</v>
      </c>
      <c r="E128" s="1" t="s">
        <v>11</v>
      </c>
      <c r="F128" s="1" t="s">
        <v>12</v>
      </c>
      <c r="G128" s="1" t="s">
        <v>13</v>
      </c>
      <c r="H128" s="1">
        <v>23</v>
      </c>
      <c r="I128" s="1">
        <v>4</v>
      </c>
      <c r="J128" s="1">
        <v>0</v>
      </c>
      <c r="M128" s="1" t="str">
        <f>SUBSTITUTE(TEXT(B128,"dd/mm/yyyy"),"-","/")</f>
        <v>01/04/1984</v>
      </c>
      <c r="N128" s="3" t="str">
        <f t="shared" si="7"/>
        <v>01/04/1984</v>
      </c>
      <c r="O128" s="3" t="str">
        <f t="shared" si="8"/>
        <v>01/04/1984</v>
      </c>
      <c r="P128" s="1">
        <f>IF(RIGHT(C128,1)="K", LEFT(C128,LEN(C128)-1)*1000,C128)</f>
        <v>46998</v>
      </c>
      <c r="Q128" s="1" t="str">
        <f>IF(LEFT(D128,1)="M","Male","Female")</f>
        <v>Male</v>
      </c>
      <c r="R128" s="1" t="str">
        <f>TRIM(E128)</f>
        <v>Production Technician I</v>
      </c>
      <c r="S128" s="1" t="str">
        <f>IF(G128="", "To be updated", IF(OR(G128="IT&amp;IS", G128="ITIS"), "IT/IS", G128))</f>
        <v xml:space="preserve">Production       </v>
      </c>
      <c r="T128" s="2">
        <f t="shared" si="5"/>
        <v>23</v>
      </c>
      <c r="U128" s="1">
        <f t="shared" si="6"/>
        <v>4</v>
      </c>
      <c r="V128" s="1">
        <f t="shared" ca="1" si="9"/>
        <v>41</v>
      </c>
    </row>
    <row r="129" spans="1:22" x14ac:dyDescent="0.25">
      <c r="A129" s="1">
        <v>10075</v>
      </c>
      <c r="B129" s="1" t="s">
        <v>151</v>
      </c>
      <c r="C129" s="1">
        <v>68099</v>
      </c>
      <c r="D129" s="1" t="s">
        <v>17</v>
      </c>
      <c r="E129" s="1" t="s">
        <v>18</v>
      </c>
      <c r="F129" s="1" t="s">
        <v>15</v>
      </c>
      <c r="G129" s="1" t="s">
        <v>13</v>
      </c>
      <c r="H129" s="1">
        <v>20</v>
      </c>
      <c r="I129" s="1">
        <v>3</v>
      </c>
      <c r="J129" s="1">
        <v>0</v>
      </c>
      <c r="M129" s="1" t="str">
        <f>SUBSTITUTE(TEXT(B129,"dd/mm/yyyy"),"-","/")</f>
        <v>08/27/1972</v>
      </c>
      <c r="N129" s="3">
        <f t="shared" si="7"/>
        <v>26538</v>
      </c>
      <c r="O129" s="3" t="str">
        <f t="shared" si="8"/>
        <v>27/08/1972</v>
      </c>
      <c r="P129" s="1">
        <f>IF(RIGHT(C129,1)="K", LEFT(C129,LEN(C129)-1)*1000,C129)</f>
        <v>68099</v>
      </c>
      <c r="Q129" s="1" t="str">
        <f>IF(LEFT(D129,1)="M","Male","Female")</f>
        <v>Female</v>
      </c>
      <c r="R129" s="1" t="str">
        <f>TRIM(E129)</f>
        <v>Production Technician II</v>
      </c>
      <c r="S129" s="1" t="str">
        <f>IF(G129="", "To be updated", IF(OR(G129="IT&amp;IS", G129="ITIS"), "IT/IS", G129))</f>
        <v xml:space="preserve">Production       </v>
      </c>
      <c r="T129" s="2">
        <f t="shared" si="5"/>
        <v>20</v>
      </c>
      <c r="U129" s="1">
        <f t="shared" si="6"/>
        <v>3</v>
      </c>
      <c r="V129" s="1">
        <f t="shared" ca="1" si="9"/>
        <v>53</v>
      </c>
    </row>
    <row r="130" spans="1:22" x14ac:dyDescent="0.25">
      <c r="A130" s="1">
        <v>10167</v>
      </c>
      <c r="B130" s="1" t="s">
        <v>152</v>
      </c>
      <c r="C130" s="1">
        <v>70545</v>
      </c>
      <c r="D130" s="1" t="s">
        <v>22</v>
      </c>
      <c r="E130" s="1" t="s">
        <v>32</v>
      </c>
      <c r="F130" s="1" t="s">
        <v>12</v>
      </c>
      <c r="G130" s="1" t="s">
        <v>33</v>
      </c>
      <c r="H130" s="1">
        <v>13</v>
      </c>
      <c r="I130" s="1">
        <v>5</v>
      </c>
      <c r="J130" s="1">
        <v>0</v>
      </c>
      <c r="M130" s="1" t="str">
        <f>SUBSTITUTE(TEXT(B130,"dd/mm/yyyy"),"-","/")</f>
        <v>09/14/1988</v>
      </c>
      <c r="N130" s="3">
        <f t="shared" si="7"/>
        <v>32400</v>
      </c>
      <c r="O130" s="3" t="str">
        <f t="shared" si="8"/>
        <v>14/09/1988</v>
      </c>
      <c r="P130" s="1">
        <f>IF(RIGHT(C130,1)="K", LEFT(C130,LEN(C130)-1)*1000,C130)</f>
        <v>70545</v>
      </c>
      <c r="Q130" s="1" t="str">
        <f>IF(LEFT(D130,1)="M","Male","Female")</f>
        <v>Male</v>
      </c>
      <c r="R130" s="1" t="str">
        <f>TRIM(E130)</f>
        <v>Area Sales Manager</v>
      </c>
      <c r="S130" s="1" t="str">
        <f>IF(G130="", "To be updated", IF(OR(G130="IT&amp;IS", G130="ITIS"), "IT/IS", G130))</f>
        <v>Sales</v>
      </c>
      <c r="T130" s="2">
        <f t="shared" ref="T130:T193" si="10">IF(ISBLANK(H130),AVERAGE($H$2:$H$312),H130)</f>
        <v>13</v>
      </c>
      <c r="U130" s="1">
        <f t="shared" ref="U130:U193" si="11">IF(I130="High",MAX($I$2:$I$312),IF(I130="Low",MIN($I$2:$I$312),I130))</f>
        <v>5</v>
      </c>
      <c r="V130" s="1">
        <f t="shared" ca="1" si="9"/>
        <v>37</v>
      </c>
    </row>
    <row r="131" spans="1:22" x14ac:dyDescent="0.25">
      <c r="A131" s="1">
        <v>10195</v>
      </c>
      <c r="B131" s="1" t="s">
        <v>153</v>
      </c>
      <c r="C131" s="1">
        <v>63478</v>
      </c>
      <c r="D131" s="1" t="s">
        <v>17</v>
      </c>
      <c r="E131" s="1" t="s">
        <v>18</v>
      </c>
      <c r="F131" s="1" t="s">
        <v>15</v>
      </c>
      <c r="G131" s="1" t="s">
        <v>13</v>
      </c>
      <c r="H131" s="1">
        <v>13</v>
      </c>
      <c r="I131" s="1">
        <v>5</v>
      </c>
      <c r="J131" s="1">
        <v>0</v>
      </c>
      <c r="M131" s="1" t="str">
        <f>SUBSTITUTE(TEXT(B131,"dd/mm/yyyy"),"-","/")</f>
        <v>02/16/1984</v>
      </c>
      <c r="N131" s="3">
        <f t="shared" ref="N131:N194" si="12">IF(VALUE(MID(M131,4,2))&gt;12,DATE(RIGHT(M131,4),LEFT(M131,2),MID(M131,4,2)),M131)</f>
        <v>30728</v>
      </c>
      <c r="O131" s="3" t="str">
        <f t="shared" ref="O131:O194" si="13">SUBSTITUTE(TEXT(N131,"dd/mm/yyyy"),"-","/")</f>
        <v>16/02/1984</v>
      </c>
      <c r="P131" s="1">
        <f>IF(RIGHT(C131,1)="K", LEFT(C131,LEN(C131)-1)*1000,C131)</f>
        <v>63478</v>
      </c>
      <c r="Q131" s="1" t="str">
        <f>IF(LEFT(D131,1)="M","Male","Female")</f>
        <v>Female</v>
      </c>
      <c r="R131" s="1" t="str">
        <f>TRIM(E131)</f>
        <v>Production Technician II</v>
      </c>
      <c r="S131" s="1" t="str">
        <f>IF(G131="", "To be updated", IF(OR(G131="IT&amp;IS", G131="ITIS"), "IT/IS", G131))</f>
        <v xml:space="preserve">Production       </v>
      </c>
      <c r="T131" s="2">
        <f t="shared" si="10"/>
        <v>13</v>
      </c>
      <c r="U131" s="1">
        <f t="shared" si="11"/>
        <v>5</v>
      </c>
      <c r="V131" s="1">
        <f t="shared" ref="V131:V194" ca="1" si="14">DATEDIF(O131,TODAY(),"Y")</f>
        <v>41</v>
      </c>
    </row>
    <row r="132" spans="1:22" x14ac:dyDescent="0.25">
      <c r="A132" s="1">
        <v>10112</v>
      </c>
      <c r="B132" s="1" t="s">
        <v>154</v>
      </c>
      <c r="C132" s="1">
        <v>97999</v>
      </c>
      <c r="D132" s="1" t="s">
        <v>17</v>
      </c>
      <c r="E132" s="1" t="s">
        <v>26</v>
      </c>
      <c r="F132" s="1" t="s">
        <v>12</v>
      </c>
      <c r="G132" s="1" t="s">
        <v>16</v>
      </c>
      <c r="H132" s="1">
        <v>12</v>
      </c>
      <c r="I132" s="1">
        <v>5</v>
      </c>
      <c r="J132" s="1">
        <v>6</v>
      </c>
      <c r="M132" s="1" t="str">
        <f>SUBSTITUTE(TEXT(B132,"dd/mm/yyyy"),"-","/")</f>
        <v>02/21/1984</v>
      </c>
      <c r="N132" s="3">
        <f t="shared" si="12"/>
        <v>30733</v>
      </c>
      <c r="O132" s="3" t="str">
        <f t="shared" si="13"/>
        <v>21/02/1984</v>
      </c>
      <c r="P132" s="1">
        <f>IF(RIGHT(C132,1)="K", LEFT(C132,LEN(C132)-1)*1000,C132)</f>
        <v>97999</v>
      </c>
      <c r="Q132" s="1" t="str">
        <f>IF(LEFT(D132,1)="M","Male","Female")</f>
        <v>Female</v>
      </c>
      <c r="R132" s="1" t="str">
        <f>TRIM(E132)</f>
        <v>Database Administrator</v>
      </c>
      <c r="S132" s="1" t="str">
        <f>IF(G132="", "To be updated", IF(OR(G132="IT&amp;IS", G132="ITIS"), "IT/IS", G132))</f>
        <v>IT/IS</v>
      </c>
      <c r="T132" s="2">
        <f t="shared" si="10"/>
        <v>12</v>
      </c>
      <c r="U132" s="1">
        <f t="shared" si="11"/>
        <v>5</v>
      </c>
      <c r="V132" s="1">
        <f t="shared" ca="1" si="14"/>
        <v>41</v>
      </c>
    </row>
    <row r="133" spans="1:22" x14ac:dyDescent="0.25">
      <c r="A133" s="1">
        <v>10272</v>
      </c>
      <c r="B133" s="1" t="s">
        <v>155</v>
      </c>
      <c r="C133" s="1">
        <v>180000</v>
      </c>
      <c r="D133" s="1" t="s">
        <v>17</v>
      </c>
      <c r="E133" s="1" t="s">
        <v>43</v>
      </c>
      <c r="F133" s="1" t="s">
        <v>12</v>
      </c>
      <c r="G133" s="1" t="s">
        <v>33</v>
      </c>
      <c r="H133" s="1">
        <v>17</v>
      </c>
      <c r="I133" s="1">
        <v>4</v>
      </c>
      <c r="J133" s="1">
        <v>0</v>
      </c>
      <c r="M133" s="1" t="str">
        <f>SUBSTITUTE(TEXT(B133,"dd/mm/yyyy"),"-","/")</f>
        <v>03/17/1966</v>
      </c>
      <c r="N133" s="3">
        <f t="shared" si="12"/>
        <v>24183</v>
      </c>
      <c r="O133" s="3" t="str">
        <f t="shared" si="13"/>
        <v>17/03/1966</v>
      </c>
      <c r="P133" s="1">
        <f>IF(RIGHT(C133,1)="K", LEFT(C133,LEN(C133)-1)*1000,C133)</f>
        <v>180000</v>
      </c>
      <c r="Q133" s="1" t="str">
        <f>IF(LEFT(D133,1)="M","Male","Female")</f>
        <v>Female</v>
      </c>
      <c r="R133" s="1" t="str">
        <f>TRIM(E133)</f>
        <v>Director of Sales</v>
      </c>
      <c r="S133" s="1" t="str">
        <f>IF(G133="", "To be updated", IF(OR(G133="IT&amp;IS", G133="ITIS"), "IT/IS", G133))</f>
        <v>Sales</v>
      </c>
      <c r="T133" s="2">
        <f t="shared" si="10"/>
        <v>17</v>
      </c>
      <c r="U133" s="1">
        <f t="shared" si="11"/>
        <v>4</v>
      </c>
      <c r="V133" s="1">
        <f t="shared" ca="1" si="14"/>
        <v>59</v>
      </c>
    </row>
    <row r="134" spans="1:22" x14ac:dyDescent="0.25">
      <c r="A134" s="1">
        <v>10182</v>
      </c>
      <c r="B134" s="1" t="s">
        <v>156</v>
      </c>
      <c r="C134" s="1">
        <v>49920</v>
      </c>
      <c r="D134" s="1" t="s">
        <v>17</v>
      </c>
      <c r="E134" s="1" t="s">
        <v>44</v>
      </c>
      <c r="F134" s="1" t="s">
        <v>25</v>
      </c>
      <c r="G134" s="1" t="s">
        <v>29</v>
      </c>
      <c r="H134" s="1">
        <v>22</v>
      </c>
      <c r="I134" s="1">
        <v>3</v>
      </c>
      <c r="J134" s="1">
        <v>4</v>
      </c>
      <c r="M134" s="1" t="str">
        <f>SUBSTITUTE(TEXT(B134,"dd/mm/yyyy"),"-","/")</f>
        <v>09/16/1985</v>
      </c>
      <c r="N134" s="3">
        <f t="shared" si="12"/>
        <v>31306</v>
      </c>
      <c r="O134" s="3" t="str">
        <f t="shared" si="13"/>
        <v>16/09/1985</v>
      </c>
      <c r="P134" s="1">
        <f>IF(RIGHT(C134,1)="K", LEFT(C134,LEN(C134)-1)*1000,C134)</f>
        <v>49920</v>
      </c>
      <c r="Q134" s="1" t="str">
        <f>IF(LEFT(D134,1)="M","Male","Female")</f>
        <v>Female</v>
      </c>
      <c r="R134" s="1" t="str">
        <f>TRIM(E134)</f>
        <v>Administrative Assistant</v>
      </c>
      <c r="S134" s="1" t="str">
        <f>IF(G134="", "To be updated", IF(OR(G134="IT&amp;IS", G134="ITIS"), "IT/IS", G134))</f>
        <v>Admin Offices</v>
      </c>
      <c r="T134" s="2">
        <f t="shared" si="10"/>
        <v>22</v>
      </c>
      <c r="U134" s="1">
        <f t="shared" si="11"/>
        <v>3</v>
      </c>
      <c r="V134" s="1">
        <f t="shared" ca="1" si="14"/>
        <v>40</v>
      </c>
    </row>
    <row r="135" spans="1:22" x14ac:dyDescent="0.25">
      <c r="A135" s="1">
        <v>10248</v>
      </c>
      <c r="B135" s="3">
        <v>31691</v>
      </c>
      <c r="C135" s="1">
        <v>55425</v>
      </c>
      <c r="D135" s="1" t="s">
        <v>17</v>
      </c>
      <c r="E135" s="1" t="s">
        <v>11</v>
      </c>
      <c r="F135" s="1" t="s">
        <v>12</v>
      </c>
      <c r="G135" s="1" t="s">
        <v>13</v>
      </c>
      <c r="H135" s="1">
        <v>22</v>
      </c>
      <c r="I135" s="1">
        <v>4</v>
      </c>
      <c r="J135" s="1">
        <v>0</v>
      </c>
      <c r="M135" s="1" t="str">
        <f>SUBSTITUTE(TEXT(B135,"dd/mm/yyyy"),"-","/")</f>
        <v>06/10/1986</v>
      </c>
      <c r="N135" s="3" t="str">
        <f t="shared" si="12"/>
        <v>06/10/1986</v>
      </c>
      <c r="O135" s="3" t="str">
        <f t="shared" si="13"/>
        <v>06/10/1986</v>
      </c>
      <c r="P135" s="1">
        <f>IF(RIGHT(C135,1)="K", LEFT(C135,LEN(C135)-1)*1000,C135)</f>
        <v>55425</v>
      </c>
      <c r="Q135" s="1" t="str">
        <f>IF(LEFT(D135,1)="M","Male","Female")</f>
        <v>Female</v>
      </c>
      <c r="R135" s="1" t="str">
        <f>TRIM(E135)</f>
        <v>Production Technician I</v>
      </c>
      <c r="S135" s="1" t="str">
        <f>IF(G135="", "To be updated", IF(OR(G135="IT&amp;IS", G135="ITIS"), "IT/IS", G135))</f>
        <v xml:space="preserve">Production       </v>
      </c>
      <c r="T135" s="2">
        <f t="shared" si="10"/>
        <v>22</v>
      </c>
      <c r="U135" s="1">
        <f t="shared" si="11"/>
        <v>4</v>
      </c>
      <c r="V135" s="1">
        <f t="shared" ca="1" si="14"/>
        <v>38</v>
      </c>
    </row>
    <row r="136" spans="1:22" x14ac:dyDescent="0.25">
      <c r="A136" s="1">
        <v>10201</v>
      </c>
      <c r="B136" s="3">
        <v>30989</v>
      </c>
      <c r="C136" s="1">
        <v>69340</v>
      </c>
      <c r="D136" s="1" t="s">
        <v>17</v>
      </c>
      <c r="E136" s="1" t="s">
        <v>18</v>
      </c>
      <c r="F136" s="1" t="s">
        <v>12</v>
      </c>
      <c r="G136" s="1" t="s">
        <v>13</v>
      </c>
      <c r="H136" s="1">
        <v>11</v>
      </c>
      <c r="I136" s="1">
        <v>5</v>
      </c>
      <c r="J136" s="1">
        <v>0</v>
      </c>
      <c r="M136" s="1" t="str">
        <f>SUBSTITUTE(TEXT(B136,"dd/mm/yyyy"),"-","/")</f>
        <v>03/11/1984</v>
      </c>
      <c r="N136" s="3" t="str">
        <f t="shared" si="12"/>
        <v>03/11/1984</v>
      </c>
      <c r="O136" s="3" t="str">
        <f t="shared" si="13"/>
        <v>03/11/1984</v>
      </c>
      <c r="P136" s="1">
        <f>IF(RIGHT(C136,1)="K", LEFT(C136,LEN(C136)-1)*1000,C136)</f>
        <v>69340</v>
      </c>
      <c r="Q136" s="1" t="str">
        <f>IF(LEFT(D136,1)="M","Male","Female")</f>
        <v>Female</v>
      </c>
      <c r="R136" s="1" t="str">
        <f>TRIM(E136)</f>
        <v>Production Technician II</v>
      </c>
      <c r="S136" s="1" t="str">
        <f>IF(G136="", "To be updated", IF(OR(G136="IT&amp;IS", G136="ITIS"), "IT/IS", G136))</f>
        <v xml:space="preserve">Production       </v>
      </c>
      <c r="T136" s="2">
        <f t="shared" si="10"/>
        <v>11</v>
      </c>
      <c r="U136" s="1">
        <f t="shared" si="11"/>
        <v>5</v>
      </c>
      <c r="V136" s="1">
        <f t="shared" ca="1" si="14"/>
        <v>40</v>
      </c>
    </row>
    <row r="137" spans="1:22" x14ac:dyDescent="0.25">
      <c r="A137" s="1">
        <v>10214</v>
      </c>
      <c r="B137" s="3">
        <v>33790</v>
      </c>
      <c r="C137" s="1">
        <v>64995</v>
      </c>
      <c r="D137" s="1" t="s">
        <v>17</v>
      </c>
      <c r="E137" s="1" t="s">
        <v>18</v>
      </c>
      <c r="F137" s="1" t="s">
        <v>12</v>
      </c>
      <c r="G137" s="1" t="s">
        <v>13</v>
      </c>
      <c r="H137" s="1">
        <v>12</v>
      </c>
      <c r="I137" s="1">
        <v>3</v>
      </c>
      <c r="J137" s="1">
        <v>0</v>
      </c>
      <c r="M137" s="1" t="str">
        <f>SUBSTITUTE(TEXT(B137,"dd/mm/yyyy"),"-","/")</f>
        <v>05/07/1992</v>
      </c>
      <c r="N137" s="3" t="str">
        <f t="shared" si="12"/>
        <v>05/07/1992</v>
      </c>
      <c r="O137" s="3" t="str">
        <f t="shared" si="13"/>
        <v>05/07/1992</v>
      </c>
      <c r="P137" s="1">
        <f>IF(RIGHT(C137,1)="K", LEFT(C137,LEN(C137)-1)*1000,C137)</f>
        <v>64995</v>
      </c>
      <c r="Q137" s="1" t="str">
        <f>IF(LEFT(D137,1)="M","Male","Female")</f>
        <v>Female</v>
      </c>
      <c r="R137" s="1" t="str">
        <f>TRIM(E137)</f>
        <v>Production Technician II</v>
      </c>
      <c r="S137" s="1" t="str">
        <f>IF(G137="", "To be updated", IF(OR(G137="IT&amp;IS", G137="ITIS"), "IT/IS", G137))</f>
        <v xml:space="preserve">Production       </v>
      </c>
      <c r="T137" s="2">
        <f t="shared" si="10"/>
        <v>12</v>
      </c>
      <c r="U137" s="1">
        <f t="shared" si="11"/>
        <v>3</v>
      </c>
      <c r="V137" s="1">
        <f t="shared" ca="1" si="14"/>
        <v>33</v>
      </c>
    </row>
    <row r="138" spans="1:22" x14ac:dyDescent="0.25">
      <c r="A138" s="1">
        <v>10160</v>
      </c>
      <c r="B138" s="1" t="s">
        <v>157</v>
      </c>
      <c r="C138" s="1">
        <v>68182</v>
      </c>
      <c r="D138" s="1" t="s">
        <v>17</v>
      </c>
      <c r="E138" s="1" t="s">
        <v>18</v>
      </c>
      <c r="F138" s="1" t="s">
        <v>15</v>
      </c>
      <c r="G138" s="1" t="s">
        <v>13</v>
      </c>
      <c r="H138" s="1">
        <v>18</v>
      </c>
      <c r="I138" s="1">
        <v>3</v>
      </c>
      <c r="J138" s="1">
        <v>0</v>
      </c>
      <c r="M138" s="1" t="str">
        <f>SUBSTITUTE(TEXT(B138,"dd/mm/yyyy"),"-","/")</f>
        <v>09/22/1976</v>
      </c>
      <c r="N138" s="3">
        <f t="shared" si="12"/>
        <v>28025</v>
      </c>
      <c r="O138" s="3" t="str">
        <f t="shared" si="13"/>
        <v>22/09/1976</v>
      </c>
      <c r="P138" s="1">
        <f>IF(RIGHT(C138,1)="K", LEFT(C138,LEN(C138)-1)*1000,C138)</f>
        <v>68182</v>
      </c>
      <c r="Q138" s="1" t="str">
        <f>IF(LEFT(D138,1)="M","Male","Female")</f>
        <v>Female</v>
      </c>
      <c r="R138" s="1" t="str">
        <f>TRIM(E138)</f>
        <v>Production Technician II</v>
      </c>
      <c r="S138" s="1" t="str">
        <f>IF(G138="", "To be updated", IF(OR(G138="IT&amp;IS", G138="ITIS"), "IT/IS", G138))</f>
        <v xml:space="preserve">Production       </v>
      </c>
      <c r="T138" s="2">
        <f t="shared" si="10"/>
        <v>18</v>
      </c>
      <c r="U138" s="1">
        <f t="shared" si="11"/>
        <v>3</v>
      </c>
      <c r="V138" s="1">
        <f t="shared" ca="1" si="14"/>
        <v>49</v>
      </c>
    </row>
    <row r="139" spans="1:22" x14ac:dyDescent="0.25">
      <c r="A139" s="1">
        <v>10289</v>
      </c>
      <c r="B139" s="1" t="s">
        <v>158</v>
      </c>
      <c r="C139" s="1">
        <v>83082</v>
      </c>
      <c r="D139" s="1" t="s">
        <v>22</v>
      </c>
      <c r="E139" s="1" t="s">
        <v>30</v>
      </c>
      <c r="F139" s="1" t="s">
        <v>15</v>
      </c>
      <c r="G139" s="1" t="s">
        <v>13</v>
      </c>
      <c r="H139" s="1">
        <v>20</v>
      </c>
      <c r="I139" s="1">
        <v>2</v>
      </c>
      <c r="J139" s="1">
        <v>0</v>
      </c>
      <c r="M139" s="1" t="str">
        <f>SUBSTITUTE(TEXT(B139,"dd/mm/yyyy"),"-","/")</f>
        <v>11/15/1976</v>
      </c>
      <c r="N139" s="3">
        <f t="shared" si="12"/>
        <v>28079</v>
      </c>
      <c r="O139" s="3" t="str">
        <f t="shared" si="13"/>
        <v>15/11/1976</v>
      </c>
      <c r="P139" s="1">
        <f>IF(RIGHT(C139,1)="K", LEFT(C139,LEN(C139)-1)*1000,C139)</f>
        <v>83082</v>
      </c>
      <c r="Q139" s="1" t="str">
        <f>IF(LEFT(D139,1)="M","Male","Female")</f>
        <v>Male</v>
      </c>
      <c r="R139" s="1" t="str">
        <f>TRIM(E139)</f>
        <v>Production Manager</v>
      </c>
      <c r="S139" s="1" t="str">
        <f>IF(G139="", "To be updated", IF(OR(G139="IT&amp;IS", G139="ITIS"), "IT/IS", G139))</f>
        <v xml:space="preserve">Production       </v>
      </c>
      <c r="T139" s="2">
        <f t="shared" si="10"/>
        <v>20</v>
      </c>
      <c r="U139" s="1">
        <f t="shared" si="11"/>
        <v>2</v>
      </c>
      <c r="V139" s="1">
        <f t="shared" ca="1" si="14"/>
        <v>48</v>
      </c>
    </row>
    <row r="140" spans="1:22" x14ac:dyDescent="0.25">
      <c r="A140" s="1">
        <v>10139</v>
      </c>
      <c r="B140" s="1" t="s">
        <v>159</v>
      </c>
      <c r="C140" s="1">
        <v>51908</v>
      </c>
      <c r="D140" s="1" t="s">
        <v>17</v>
      </c>
      <c r="E140" s="1" t="s">
        <v>11</v>
      </c>
      <c r="F140" s="1" t="s">
        <v>12</v>
      </c>
      <c r="G140" s="1" t="s">
        <v>13</v>
      </c>
      <c r="H140" s="1">
        <v>13</v>
      </c>
      <c r="I140" s="1">
        <v>3</v>
      </c>
      <c r="J140" s="1">
        <v>0</v>
      </c>
      <c r="M140" s="1" t="str">
        <f>SUBSTITUTE(TEXT(B140,"dd/mm/yyyy"),"-","/")</f>
        <v>01/28/1991</v>
      </c>
      <c r="N140" s="3">
        <f t="shared" si="12"/>
        <v>33266</v>
      </c>
      <c r="O140" s="3" t="str">
        <f t="shared" si="13"/>
        <v>28/01/1991</v>
      </c>
      <c r="P140" s="1">
        <f>IF(RIGHT(C140,1)="K", LEFT(C140,LEN(C140)-1)*1000,C140)</f>
        <v>51908</v>
      </c>
      <c r="Q140" s="1" t="str">
        <f>IF(LEFT(D140,1)="M","Male","Female")</f>
        <v>Female</v>
      </c>
      <c r="R140" s="1" t="str">
        <f>TRIM(E140)</f>
        <v>Production Technician I</v>
      </c>
      <c r="S140" s="1" t="str">
        <f>IF(G140="", "To be updated", IF(OR(G140="IT&amp;IS", G140="ITIS"), "IT/IS", G140))</f>
        <v xml:space="preserve">Production       </v>
      </c>
      <c r="T140" s="2">
        <f t="shared" si="10"/>
        <v>13</v>
      </c>
      <c r="U140" s="1">
        <f t="shared" si="11"/>
        <v>3</v>
      </c>
      <c r="V140" s="1">
        <f t="shared" ca="1" si="14"/>
        <v>34</v>
      </c>
    </row>
    <row r="141" spans="1:22" x14ac:dyDescent="0.25">
      <c r="A141" s="1">
        <v>10227</v>
      </c>
      <c r="B141" s="3">
        <v>26612</v>
      </c>
      <c r="C141" s="1">
        <v>61242</v>
      </c>
      <c r="D141" s="1" t="s">
        <v>17</v>
      </c>
      <c r="E141" s="1" t="s">
        <v>11</v>
      </c>
      <c r="F141" s="1" t="s">
        <v>12</v>
      </c>
      <c r="G141" s="1" t="s">
        <v>13</v>
      </c>
      <c r="H141" s="1">
        <v>14</v>
      </c>
      <c r="I141" s="1">
        <v>3</v>
      </c>
      <c r="J141" s="1">
        <v>0</v>
      </c>
      <c r="M141" s="1" t="str">
        <f>SUBSTITUTE(TEXT(B141,"dd/mm/yyyy"),"-","/")</f>
        <v>09/11/1972</v>
      </c>
      <c r="N141" s="3" t="str">
        <f t="shared" si="12"/>
        <v>09/11/1972</v>
      </c>
      <c r="O141" s="3" t="str">
        <f t="shared" si="13"/>
        <v>09/11/1972</v>
      </c>
      <c r="P141" s="1">
        <f>IF(RIGHT(C141,1)="K", LEFT(C141,LEN(C141)-1)*1000,C141)</f>
        <v>61242</v>
      </c>
      <c r="Q141" s="1" t="str">
        <f>IF(LEFT(D141,1)="M","Male","Female")</f>
        <v>Female</v>
      </c>
      <c r="R141" s="1" t="str">
        <f>TRIM(E141)</f>
        <v>Production Technician I</v>
      </c>
      <c r="S141" s="1" t="str">
        <f>IF(G141="", "To be updated", IF(OR(G141="IT&amp;IS", G141="ITIS"), "IT/IS", G141))</f>
        <v xml:space="preserve">Production       </v>
      </c>
      <c r="T141" s="2">
        <f t="shared" si="10"/>
        <v>14</v>
      </c>
      <c r="U141" s="1">
        <f t="shared" si="11"/>
        <v>3</v>
      </c>
      <c r="V141" s="1">
        <f t="shared" ca="1" si="14"/>
        <v>52</v>
      </c>
    </row>
    <row r="142" spans="1:22" x14ac:dyDescent="0.25">
      <c r="A142" s="1">
        <v>10236</v>
      </c>
      <c r="B142" s="1" t="s">
        <v>160</v>
      </c>
      <c r="C142" s="1">
        <v>45069</v>
      </c>
      <c r="D142" s="1" t="s">
        <v>17</v>
      </c>
      <c r="E142" s="1" t="s">
        <v>11</v>
      </c>
      <c r="F142" s="1" t="s">
        <v>12</v>
      </c>
      <c r="G142" s="1" t="s">
        <v>13</v>
      </c>
      <c r="H142" s="1">
        <v>17</v>
      </c>
      <c r="I142" s="1">
        <v>5</v>
      </c>
      <c r="J142" s="1">
        <v>0</v>
      </c>
      <c r="M142" s="1" t="str">
        <f>SUBSTITUTE(TEXT(B142,"dd/mm/yyyy"),"-","/")</f>
        <v>03/22/1966</v>
      </c>
      <c r="N142" s="3">
        <f t="shared" si="12"/>
        <v>24188</v>
      </c>
      <c r="O142" s="3" t="str">
        <f t="shared" si="13"/>
        <v>22/03/1966</v>
      </c>
      <c r="P142" s="1">
        <f>IF(RIGHT(C142,1)="K", LEFT(C142,LEN(C142)-1)*1000,C142)</f>
        <v>45069</v>
      </c>
      <c r="Q142" s="1" t="str">
        <f>IF(LEFT(D142,1)="M","Male","Female")</f>
        <v>Female</v>
      </c>
      <c r="R142" s="1" t="str">
        <f>TRIM(E142)</f>
        <v>Production Technician I</v>
      </c>
      <c r="S142" s="1" t="str">
        <f>IF(G142="", "To be updated", IF(OR(G142="IT&amp;IS", G142="ITIS"), "IT/IS", G142))</f>
        <v xml:space="preserve">Production       </v>
      </c>
      <c r="T142" s="2">
        <f t="shared" si="10"/>
        <v>17</v>
      </c>
      <c r="U142" s="1">
        <f t="shared" si="11"/>
        <v>5</v>
      </c>
      <c r="V142" s="1">
        <f t="shared" ca="1" si="14"/>
        <v>59</v>
      </c>
    </row>
    <row r="143" spans="1:22" x14ac:dyDescent="0.25">
      <c r="A143" s="1">
        <v>10009</v>
      </c>
      <c r="B143" s="3">
        <v>31574</v>
      </c>
      <c r="C143" s="1">
        <v>60724</v>
      </c>
      <c r="D143" s="1" t="s">
        <v>17</v>
      </c>
      <c r="E143" s="1" t="s">
        <v>18</v>
      </c>
      <c r="F143" s="1" t="s">
        <v>12</v>
      </c>
      <c r="G143" s="1" t="s">
        <v>13</v>
      </c>
      <c r="H143" s="1">
        <v>14</v>
      </c>
      <c r="I143" s="1">
        <v>4</v>
      </c>
      <c r="J143" s="1">
        <v>0</v>
      </c>
      <c r="M143" s="1" t="str">
        <f>SUBSTITUTE(TEXT(B143,"dd/mm/yyyy"),"-","/")</f>
        <v>11/06/1986</v>
      </c>
      <c r="N143" s="3" t="str">
        <f t="shared" si="12"/>
        <v>11/06/1986</v>
      </c>
      <c r="O143" s="3" t="str">
        <f t="shared" si="13"/>
        <v>11/06/1986</v>
      </c>
      <c r="P143" s="1">
        <f>IF(RIGHT(C143,1)="K", LEFT(C143,LEN(C143)-1)*1000,C143)</f>
        <v>60724</v>
      </c>
      <c r="Q143" s="1" t="str">
        <f>IF(LEFT(D143,1)="M","Male","Female")</f>
        <v>Female</v>
      </c>
      <c r="R143" s="1" t="str">
        <f>TRIM(E143)</f>
        <v>Production Technician II</v>
      </c>
      <c r="S143" s="1" t="str">
        <f>IF(G143="", "To be updated", IF(OR(G143="IT&amp;IS", G143="ITIS"), "IT/IS", G143))</f>
        <v xml:space="preserve">Production       </v>
      </c>
      <c r="T143" s="2">
        <f t="shared" si="10"/>
        <v>14</v>
      </c>
      <c r="U143" s="1">
        <f t="shared" si="11"/>
        <v>4</v>
      </c>
      <c r="V143" s="1">
        <f t="shared" ca="1" si="14"/>
        <v>39</v>
      </c>
    </row>
    <row r="144" spans="1:22" x14ac:dyDescent="0.25">
      <c r="A144" s="1">
        <v>10060</v>
      </c>
      <c r="B144" s="1" t="s">
        <v>161</v>
      </c>
      <c r="C144" s="1">
        <v>60436</v>
      </c>
      <c r="D144" s="1" t="s">
        <v>17</v>
      </c>
      <c r="E144" s="1" t="s">
        <v>11</v>
      </c>
      <c r="F144" s="1" t="s">
        <v>12</v>
      </c>
      <c r="G144" s="1" t="s">
        <v>13</v>
      </c>
      <c r="H144" s="1">
        <v>12</v>
      </c>
      <c r="I144" s="1">
        <v>5</v>
      </c>
      <c r="J144" s="1">
        <v>0</v>
      </c>
      <c r="M144" s="1" t="str">
        <f>SUBSTITUTE(TEXT(B144,"dd/mm/yyyy"),"-","/")</f>
        <v>04/13/1964</v>
      </c>
      <c r="N144" s="3">
        <f t="shared" si="12"/>
        <v>23480</v>
      </c>
      <c r="O144" s="3" t="str">
        <f t="shared" si="13"/>
        <v>13/04/1964</v>
      </c>
      <c r="P144" s="1">
        <f>IF(RIGHT(C144,1)="K", LEFT(C144,LEN(C144)-1)*1000,C144)</f>
        <v>60436</v>
      </c>
      <c r="Q144" s="1" t="str">
        <f>IF(LEFT(D144,1)="M","Male","Female")</f>
        <v>Female</v>
      </c>
      <c r="R144" s="1" t="str">
        <f>TRIM(E144)</f>
        <v>Production Technician I</v>
      </c>
      <c r="S144" s="1" t="str">
        <f>IF(G144="", "To be updated", IF(OR(G144="IT&amp;IS", G144="ITIS"), "IT/IS", G144))</f>
        <v xml:space="preserve">Production       </v>
      </c>
      <c r="T144" s="2">
        <f t="shared" si="10"/>
        <v>12</v>
      </c>
      <c r="U144" s="1">
        <f t="shared" si="11"/>
        <v>5</v>
      </c>
      <c r="V144" s="1">
        <f t="shared" ca="1" si="14"/>
        <v>61</v>
      </c>
    </row>
    <row r="145" spans="1:22" x14ac:dyDescent="0.25">
      <c r="A145" s="1">
        <v>10034</v>
      </c>
      <c r="B145" s="1" t="s">
        <v>162</v>
      </c>
      <c r="C145" s="1">
        <v>46837</v>
      </c>
      <c r="D145" s="1" t="s">
        <v>22</v>
      </c>
      <c r="E145" s="1" t="s">
        <v>11</v>
      </c>
      <c r="F145" s="1" t="s">
        <v>15</v>
      </c>
      <c r="G145" s="1" t="s">
        <v>13</v>
      </c>
      <c r="H145" s="1">
        <v>12</v>
      </c>
      <c r="I145" s="1">
        <v>4</v>
      </c>
      <c r="J145" s="1">
        <v>0</v>
      </c>
      <c r="M145" s="1" t="str">
        <f>SUBSTITUTE(TEXT(B145,"dd/mm/yyyy"),"-","/")</f>
        <v>08/19/1959</v>
      </c>
      <c r="N145" s="3">
        <f t="shared" si="12"/>
        <v>21781</v>
      </c>
      <c r="O145" s="3" t="str">
        <f t="shared" si="13"/>
        <v>19/08/1959</v>
      </c>
      <c r="P145" s="1">
        <f>IF(RIGHT(C145,1)="K", LEFT(C145,LEN(C145)-1)*1000,C145)</f>
        <v>46837</v>
      </c>
      <c r="Q145" s="1" t="str">
        <f>IF(LEFT(D145,1)="M","Male","Female")</f>
        <v>Male</v>
      </c>
      <c r="R145" s="1" t="str">
        <f>TRIM(E145)</f>
        <v>Production Technician I</v>
      </c>
      <c r="S145" s="1" t="str">
        <f>IF(G145="", "To be updated", IF(OR(G145="IT&amp;IS", G145="ITIS"), "IT/IS", G145))</f>
        <v xml:space="preserve">Production       </v>
      </c>
      <c r="T145" s="2">
        <f t="shared" si="10"/>
        <v>12</v>
      </c>
      <c r="U145" s="1">
        <f t="shared" si="11"/>
        <v>4</v>
      </c>
      <c r="V145" s="1">
        <f t="shared" ca="1" si="14"/>
        <v>66</v>
      </c>
    </row>
    <row r="146" spans="1:22" x14ac:dyDescent="0.25">
      <c r="A146" s="1">
        <v>10156</v>
      </c>
      <c r="B146" s="3">
        <v>31604</v>
      </c>
      <c r="C146" s="1">
        <v>105700</v>
      </c>
      <c r="D146" s="1" t="s">
        <v>17</v>
      </c>
      <c r="E146" s="1" t="s">
        <v>26</v>
      </c>
      <c r="F146" s="1" t="s">
        <v>12</v>
      </c>
      <c r="G146" s="1" t="s">
        <v>13</v>
      </c>
      <c r="H146" s="1">
        <v>18</v>
      </c>
      <c r="I146" s="1">
        <v>3</v>
      </c>
      <c r="J146" s="1">
        <v>5</v>
      </c>
      <c r="M146" s="1" t="str">
        <f>SUBSTITUTE(TEXT(B146,"dd/mm/yyyy"),"-","/")</f>
        <v>11/07/1986</v>
      </c>
      <c r="N146" s="3" t="str">
        <f t="shared" si="12"/>
        <v>11/07/1986</v>
      </c>
      <c r="O146" s="3" t="str">
        <f t="shared" si="13"/>
        <v>11/07/1986</v>
      </c>
      <c r="P146" s="1">
        <f>IF(RIGHT(C146,1)="K", LEFT(C146,LEN(C146)-1)*1000,C146)</f>
        <v>105700</v>
      </c>
      <c r="Q146" s="1" t="str">
        <f>IF(LEFT(D146,1)="M","Male","Female")</f>
        <v>Female</v>
      </c>
      <c r="R146" s="1" t="str">
        <f>TRIM(E146)</f>
        <v>Database Administrator</v>
      </c>
      <c r="S146" s="1" t="str">
        <f>IF(G146="", "To be updated", IF(OR(G146="IT&amp;IS", G146="ITIS"), "IT/IS", G146))</f>
        <v xml:space="preserve">Production       </v>
      </c>
      <c r="T146" s="2">
        <f t="shared" si="10"/>
        <v>18</v>
      </c>
      <c r="U146" s="1">
        <f t="shared" si="11"/>
        <v>3</v>
      </c>
      <c r="V146" s="1">
        <f t="shared" ca="1" si="14"/>
        <v>39</v>
      </c>
    </row>
    <row r="147" spans="1:22" x14ac:dyDescent="0.25">
      <c r="A147" s="1">
        <v>10036</v>
      </c>
      <c r="B147" s="3">
        <v>25424</v>
      </c>
      <c r="C147" s="1">
        <v>63322</v>
      </c>
      <c r="D147" s="1" t="s">
        <v>17</v>
      </c>
      <c r="E147" s="1" t="s">
        <v>18</v>
      </c>
      <c r="F147" s="1" t="s">
        <v>12</v>
      </c>
      <c r="G147" s="1" t="s">
        <v>13</v>
      </c>
      <c r="H147" s="1">
        <v>14</v>
      </c>
      <c r="I147" s="1">
        <v>3</v>
      </c>
      <c r="J147" s="1">
        <v>0</v>
      </c>
      <c r="M147" s="1" t="str">
        <f>SUBSTITUTE(TEXT(B147,"dd/mm/yyyy"),"-","/")</f>
        <v>09/08/1969</v>
      </c>
      <c r="N147" s="3" t="str">
        <f t="shared" si="12"/>
        <v>09/08/1969</v>
      </c>
      <c r="O147" s="3" t="str">
        <f t="shared" si="13"/>
        <v>09/08/1969</v>
      </c>
      <c r="P147" s="1">
        <f>IF(RIGHT(C147,1)="K", LEFT(C147,LEN(C147)-1)*1000,C147)</f>
        <v>63322</v>
      </c>
      <c r="Q147" s="1" t="str">
        <f>IF(LEFT(D147,1)="M","Male","Female")</f>
        <v>Female</v>
      </c>
      <c r="R147" s="1" t="str">
        <f>TRIM(E147)</f>
        <v>Production Technician II</v>
      </c>
      <c r="S147" s="1" t="str">
        <f>IF(G147="", "To be updated", IF(OR(G147="IT&amp;IS", G147="ITIS"), "IT/IS", G147))</f>
        <v xml:space="preserve">Production       </v>
      </c>
      <c r="T147" s="2">
        <f t="shared" si="10"/>
        <v>14</v>
      </c>
      <c r="U147" s="1">
        <f t="shared" si="11"/>
        <v>3</v>
      </c>
      <c r="V147" s="1">
        <f t="shared" ca="1" si="14"/>
        <v>56</v>
      </c>
    </row>
    <row r="148" spans="1:22" x14ac:dyDescent="0.25">
      <c r="A148" s="1">
        <v>10138</v>
      </c>
      <c r="B148" s="1" t="s">
        <v>163</v>
      </c>
      <c r="C148" s="1">
        <v>61154</v>
      </c>
      <c r="D148" s="1" t="s">
        <v>17</v>
      </c>
      <c r="E148" s="1" t="s">
        <v>11</v>
      </c>
      <c r="F148" s="1" t="s">
        <v>15</v>
      </c>
      <c r="G148" s="1" t="s">
        <v>13</v>
      </c>
      <c r="H148" s="1">
        <v>13</v>
      </c>
      <c r="I148" s="1">
        <v>4</v>
      </c>
      <c r="J148" s="1">
        <v>0</v>
      </c>
      <c r="M148" s="1" t="str">
        <f>SUBSTITUTE(TEXT(B148,"dd/mm/yyyy"),"-","/")</f>
        <v>04/17/1986</v>
      </c>
      <c r="N148" s="3">
        <f t="shared" si="12"/>
        <v>31519</v>
      </c>
      <c r="O148" s="3" t="str">
        <f t="shared" si="13"/>
        <v>17/04/1986</v>
      </c>
      <c r="P148" s="1">
        <f>IF(RIGHT(C148,1)="K", LEFT(C148,LEN(C148)-1)*1000,C148)</f>
        <v>61154</v>
      </c>
      <c r="Q148" s="1" t="str">
        <f>IF(LEFT(D148,1)="M","Male","Female")</f>
        <v>Female</v>
      </c>
      <c r="R148" s="1" t="str">
        <f>TRIM(E148)</f>
        <v>Production Technician I</v>
      </c>
      <c r="S148" s="1" t="str">
        <f>IF(G148="", "To be updated", IF(OR(G148="IT&amp;IS", G148="ITIS"), "IT/IS", G148))</f>
        <v xml:space="preserve">Production       </v>
      </c>
      <c r="T148" s="2">
        <f t="shared" si="10"/>
        <v>13</v>
      </c>
      <c r="U148" s="1">
        <f t="shared" si="11"/>
        <v>4</v>
      </c>
      <c r="V148" s="1">
        <f t="shared" ca="1" si="14"/>
        <v>39</v>
      </c>
    </row>
    <row r="149" spans="1:22" x14ac:dyDescent="0.25">
      <c r="A149" s="1">
        <v>10244</v>
      </c>
      <c r="B149" s="3">
        <v>32823</v>
      </c>
      <c r="C149" s="1">
        <v>68999</v>
      </c>
      <c r="D149" s="1" t="s">
        <v>17</v>
      </c>
      <c r="E149" s="1" t="s">
        <v>38</v>
      </c>
      <c r="F149" s="1" t="s">
        <v>15</v>
      </c>
      <c r="G149" s="1" t="s">
        <v>33</v>
      </c>
      <c r="H149" s="1">
        <v>16</v>
      </c>
      <c r="I149" s="1">
        <v>5</v>
      </c>
      <c r="J149" s="1">
        <v>0</v>
      </c>
      <c r="M149" s="1" t="str">
        <f>SUBSTITUTE(TEXT(B149,"dd/mm/yyyy"),"-","/")</f>
        <v>11/11/1989</v>
      </c>
      <c r="N149" s="3" t="str">
        <f t="shared" si="12"/>
        <v>11/11/1989</v>
      </c>
      <c r="O149" s="3" t="str">
        <f t="shared" si="13"/>
        <v>11/11/1989</v>
      </c>
      <c r="P149" s="1">
        <f>IF(RIGHT(C149,1)="K", LEFT(C149,LEN(C149)-1)*1000,C149)</f>
        <v>68999</v>
      </c>
      <c r="Q149" s="1" t="str">
        <f>IF(LEFT(D149,1)="M","Male","Female")</f>
        <v>Female</v>
      </c>
      <c r="R149" s="1" t="str">
        <f>TRIM(E149)</f>
        <v>Sales Manager</v>
      </c>
      <c r="S149" s="1" t="str">
        <f>IF(G149="", "To be updated", IF(OR(G149="IT&amp;IS", G149="ITIS"), "IT/IS", G149))</f>
        <v>Sales</v>
      </c>
      <c r="T149" s="2">
        <f t="shared" si="10"/>
        <v>16</v>
      </c>
      <c r="U149" s="1">
        <f t="shared" si="11"/>
        <v>5</v>
      </c>
      <c r="V149" s="1">
        <f t="shared" ca="1" si="14"/>
        <v>35</v>
      </c>
    </row>
    <row r="150" spans="1:22" x14ac:dyDescent="0.25">
      <c r="A150" s="1">
        <v>10192</v>
      </c>
      <c r="B150" s="1" t="s">
        <v>164</v>
      </c>
      <c r="C150" s="1">
        <v>50482</v>
      </c>
      <c r="D150" s="1" t="s">
        <v>22</v>
      </c>
      <c r="E150" s="1" t="s">
        <v>11</v>
      </c>
      <c r="F150" s="1" t="s">
        <v>12</v>
      </c>
      <c r="G150" s="1" t="s">
        <v>13</v>
      </c>
      <c r="H150" s="1">
        <v>20</v>
      </c>
      <c r="I150" s="1">
        <v>4</v>
      </c>
      <c r="J150" s="1">
        <v>0</v>
      </c>
      <c r="M150" s="1" t="str">
        <f>SUBSTITUTE(TEXT(B150,"dd/mm/yyyy"),"-","/")</f>
        <v>01/19/1976</v>
      </c>
      <c r="N150" s="3">
        <f t="shared" si="12"/>
        <v>27778</v>
      </c>
      <c r="O150" s="3" t="str">
        <f t="shared" si="13"/>
        <v>19/01/1976</v>
      </c>
      <c r="P150" s="1">
        <f>IF(RIGHT(C150,1)="K", LEFT(C150,LEN(C150)-1)*1000,C150)</f>
        <v>50482</v>
      </c>
      <c r="Q150" s="1" t="str">
        <f>IF(LEFT(D150,1)="M","Male","Female")</f>
        <v>Male</v>
      </c>
      <c r="R150" s="1" t="str">
        <f>TRIM(E150)</f>
        <v>Production Technician I</v>
      </c>
      <c r="S150" s="1" t="str">
        <f>IF(G150="", "To be updated", IF(OR(G150="IT&amp;IS", G150="ITIS"), "IT/IS", G150))</f>
        <v xml:space="preserve">Production       </v>
      </c>
      <c r="T150" s="2">
        <f t="shared" si="10"/>
        <v>20</v>
      </c>
      <c r="U150" s="1">
        <f t="shared" si="11"/>
        <v>4</v>
      </c>
      <c r="V150" s="1">
        <f t="shared" ca="1" si="14"/>
        <v>49</v>
      </c>
    </row>
    <row r="151" spans="1:22" x14ac:dyDescent="0.25">
      <c r="A151" s="1">
        <v>10231</v>
      </c>
      <c r="B151" s="1" t="s">
        <v>165</v>
      </c>
      <c r="C151" s="1">
        <v>65310</v>
      </c>
      <c r="D151" s="1" t="s">
        <v>22</v>
      </c>
      <c r="E151" s="1" t="s">
        <v>32</v>
      </c>
      <c r="F151" s="1" t="s">
        <v>12</v>
      </c>
      <c r="G151" s="1" t="s">
        <v>33</v>
      </c>
      <c r="H151" s="1">
        <v>22</v>
      </c>
      <c r="I151" s="1">
        <v>5</v>
      </c>
      <c r="J151" s="1">
        <v>0</v>
      </c>
      <c r="M151" s="1" t="str">
        <f>SUBSTITUTE(TEXT(B151,"dd/mm/yyyy"),"-","/")</f>
        <v>11/27/1979</v>
      </c>
      <c r="N151" s="3">
        <f t="shared" si="12"/>
        <v>29186</v>
      </c>
      <c r="O151" s="3" t="str">
        <f t="shared" si="13"/>
        <v>27/11/1979</v>
      </c>
      <c r="P151" s="1">
        <f>IF(RIGHT(C151,1)="K", LEFT(C151,LEN(C151)-1)*1000,C151)</f>
        <v>65310</v>
      </c>
      <c r="Q151" s="1" t="str">
        <f>IF(LEFT(D151,1)="M","Male","Female")</f>
        <v>Male</v>
      </c>
      <c r="R151" s="1" t="str">
        <f>TRIM(E151)</f>
        <v>Area Sales Manager</v>
      </c>
      <c r="S151" s="1" t="str">
        <f>IF(G151="", "To be updated", IF(OR(G151="IT&amp;IS", G151="ITIS"), "IT/IS", G151))</f>
        <v>Sales</v>
      </c>
      <c r="T151" s="2">
        <f t="shared" si="10"/>
        <v>22</v>
      </c>
      <c r="U151" s="1">
        <f t="shared" si="11"/>
        <v>5</v>
      </c>
      <c r="V151" s="1">
        <f t="shared" ca="1" si="14"/>
        <v>45</v>
      </c>
    </row>
    <row r="152" spans="1:22" x14ac:dyDescent="0.25">
      <c r="A152" s="1">
        <v>10089</v>
      </c>
      <c r="B152" s="1" t="s">
        <v>166</v>
      </c>
      <c r="C152" s="1">
        <v>250000</v>
      </c>
      <c r="D152" s="1" t="s">
        <v>17</v>
      </c>
      <c r="E152" s="1" t="s">
        <v>45</v>
      </c>
      <c r="F152" s="1" t="s">
        <v>12</v>
      </c>
      <c r="G152" s="1" t="s">
        <v>46</v>
      </c>
      <c r="H152" s="1">
        <v>20</v>
      </c>
      <c r="I152" s="1">
        <v>3</v>
      </c>
      <c r="J152" s="1">
        <v>0</v>
      </c>
      <c r="M152" s="1" t="str">
        <f>SUBSTITUTE(TEXT(B152,"dd/mm/yyyy"),"-","/")</f>
        <v>09/21/1954</v>
      </c>
      <c r="N152" s="3">
        <f t="shared" si="12"/>
        <v>19988</v>
      </c>
      <c r="O152" s="3" t="str">
        <f t="shared" si="13"/>
        <v>21/09/1954</v>
      </c>
      <c r="P152" s="1">
        <f>IF(RIGHT(C152,1)="K", LEFT(C152,LEN(C152)-1)*1000,C152)</f>
        <v>250000</v>
      </c>
      <c r="Q152" s="1" t="str">
        <f>IF(LEFT(D152,1)="M","Male","Female")</f>
        <v>Female</v>
      </c>
      <c r="R152" s="1" t="str">
        <f>TRIM(E152)</f>
        <v>President &amp; CEO</v>
      </c>
      <c r="S152" s="1" t="str">
        <f>IF(G152="", "To be updated", IF(OR(G152="IT&amp;IS", G152="ITIS"), "IT/IS", G152))</f>
        <v>Executive Office</v>
      </c>
      <c r="T152" s="2">
        <f t="shared" si="10"/>
        <v>20</v>
      </c>
      <c r="U152" s="1">
        <f t="shared" si="11"/>
        <v>3</v>
      </c>
      <c r="V152" s="1">
        <f t="shared" ca="1" si="14"/>
        <v>71</v>
      </c>
    </row>
    <row r="153" spans="1:22" x14ac:dyDescent="0.25">
      <c r="A153" s="1">
        <v>10166</v>
      </c>
      <c r="B153" s="3">
        <v>26888</v>
      </c>
      <c r="C153" s="1">
        <v>54005</v>
      </c>
      <c r="D153" s="1" t="s">
        <v>17</v>
      </c>
      <c r="E153" s="1" t="s">
        <v>11</v>
      </c>
      <c r="F153" s="1" t="s">
        <v>15</v>
      </c>
      <c r="G153" s="1" t="s">
        <v>13</v>
      </c>
      <c r="H153" s="1">
        <v>12</v>
      </c>
      <c r="I153" s="1">
        <v>5</v>
      </c>
      <c r="J153" s="1">
        <v>0</v>
      </c>
      <c r="M153" s="1" t="str">
        <f>SUBSTITUTE(TEXT(B153,"dd/mm/yyyy"),"-","/")</f>
        <v>12/08/1973</v>
      </c>
      <c r="N153" s="3" t="str">
        <f t="shared" si="12"/>
        <v>12/08/1973</v>
      </c>
      <c r="O153" s="3" t="str">
        <f t="shared" si="13"/>
        <v>12/08/1973</v>
      </c>
      <c r="P153" s="1">
        <f>IF(RIGHT(C153,1)="K", LEFT(C153,LEN(C153)-1)*1000,C153)</f>
        <v>54005</v>
      </c>
      <c r="Q153" s="1" t="str">
        <f>IF(LEFT(D153,1)="M","Male","Female")</f>
        <v>Female</v>
      </c>
      <c r="R153" s="1" t="str">
        <f>TRIM(E153)</f>
        <v>Production Technician I</v>
      </c>
      <c r="S153" s="1" t="str">
        <f>IF(G153="", "To be updated", IF(OR(G153="IT&amp;IS", G153="ITIS"), "IT/IS", G153))</f>
        <v xml:space="preserve">Production       </v>
      </c>
      <c r="T153" s="2">
        <f t="shared" si="10"/>
        <v>12</v>
      </c>
      <c r="U153" s="1">
        <f t="shared" si="11"/>
        <v>5</v>
      </c>
      <c r="V153" s="1">
        <f t="shared" ca="1" si="14"/>
        <v>52</v>
      </c>
    </row>
    <row r="154" spans="1:22" x14ac:dyDescent="0.25">
      <c r="A154" s="1">
        <v>10170</v>
      </c>
      <c r="B154" s="3">
        <v>25790</v>
      </c>
      <c r="C154" s="1">
        <v>45433</v>
      </c>
      <c r="D154" s="1" t="s">
        <v>17</v>
      </c>
      <c r="E154" s="1" t="s">
        <v>11</v>
      </c>
      <c r="F154" s="1" t="s">
        <v>15</v>
      </c>
      <c r="G154" s="1" t="s">
        <v>13</v>
      </c>
      <c r="H154" s="1">
        <v>12</v>
      </c>
      <c r="I154" s="1">
        <v>4</v>
      </c>
      <c r="J154" s="1">
        <v>0</v>
      </c>
      <c r="M154" s="1" t="str">
        <f>SUBSTITUTE(TEXT(B154,"dd/mm/yyyy"),"-","/")</f>
        <v>10/08/1970</v>
      </c>
      <c r="N154" s="3" t="str">
        <f t="shared" si="12"/>
        <v>10/08/1970</v>
      </c>
      <c r="O154" s="3" t="str">
        <f t="shared" si="13"/>
        <v>10/08/1970</v>
      </c>
      <c r="P154" s="1">
        <f>IF(RIGHT(C154,1)="K", LEFT(C154,LEN(C154)-1)*1000,C154)</f>
        <v>45433</v>
      </c>
      <c r="Q154" s="1" t="str">
        <f>IF(LEFT(D154,1)="M","Male","Female")</f>
        <v>Female</v>
      </c>
      <c r="R154" s="1" t="str">
        <f>TRIM(E154)</f>
        <v>Production Technician I</v>
      </c>
      <c r="S154" s="1" t="str">
        <f>IF(G154="", "To be updated", IF(OR(G154="IT&amp;IS", G154="ITIS"), "IT/IS", G154))</f>
        <v xml:space="preserve">Production       </v>
      </c>
      <c r="T154" s="2">
        <f t="shared" si="10"/>
        <v>12</v>
      </c>
      <c r="U154" s="1">
        <f t="shared" si="11"/>
        <v>4</v>
      </c>
      <c r="V154" s="1">
        <f t="shared" ca="1" si="14"/>
        <v>55</v>
      </c>
    </row>
    <row r="155" spans="1:22" x14ac:dyDescent="0.25">
      <c r="A155" s="1">
        <v>10208</v>
      </c>
      <c r="B155" s="3">
        <v>28409</v>
      </c>
      <c r="C155" s="1">
        <v>46654</v>
      </c>
      <c r="D155" s="1" t="s">
        <v>22</v>
      </c>
      <c r="E155" s="1" t="s">
        <v>11</v>
      </c>
      <c r="F155" s="1" t="s">
        <v>12</v>
      </c>
      <c r="G155" s="1" t="s">
        <v>13</v>
      </c>
      <c r="H155" s="1">
        <v>21</v>
      </c>
      <c r="I155" s="1">
        <v>3</v>
      </c>
      <c r="J155" s="1">
        <v>0</v>
      </c>
      <c r="M155" s="1" t="str">
        <f>SUBSTITUTE(TEXT(B155,"dd/mm/yyyy"),"-","/")</f>
        <v>11/10/1977</v>
      </c>
      <c r="N155" s="3" t="str">
        <f t="shared" si="12"/>
        <v>11/10/1977</v>
      </c>
      <c r="O155" s="3" t="str">
        <f t="shared" si="13"/>
        <v>11/10/1977</v>
      </c>
      <c r="P155" s="1">
        <f>IF(RIGHT(C155,1)="K", LEFT(C155,LEN(C155)-1)*1000,C155)</f>
        <v>46654</v>
      </c>
      <c r="Q155" s="1" t="str">
        <f>IF(LEFT(D155,1)="M","Male","Female")</f>
        <v>Male</v>
      </c>
      <c r="R155" s="1" t="str">
        <f>TRIM(E155)</f>
        <v>Production Technician I</v>
      </c>
      <c r="S155" s="1" t="str">
        <f>IF(G155="", "To be updated", IF(OR(G155="IT&amp;IS", G155="ITIS"), "IT/IS", G155))</f>
        <v xml:space="preserve">Production       </v>
      </c>
      <c r="T155" s="2">
        <f t="shared" si="10"/>
        <v>21</v>
      </c>
      <c r="U155" s="1">
        <f t="shared" si="11"/>
        <v>3</v>
      </c>
      <c r="V155" s="1">
        <f t="shared" ca="1" si="14"/>
        <v>47</v>
      </c>
    </row>
    <row r="156" spans="1:22" x14ac:dyDescent="0.25">
      <c r="A156" s="1">
        <v>10176</v>
      </c>
      <c r="B156" s="3">
        <v>29253</v>
      </c>
      <c r="C156" s="1">
        <v>63973</v>
      </c>
      <c r="D156" s="1" t="s">
        <v>22</v>
      </c>
      <c r="E156" s="1" t="s">
        <v>11</v>
      </c>
      <c r="F156" s="1" t="s">
        <v>12</v>
      </c>
      <c r="G156" s="1" t="s">
        <v>13</v>
      </c>
      <c r="H156" s="1">
        <v>20</v>
      </c>
      <c r="I156" s="1">
        <v>3</v>
      </c>
      <c r="J156" s="1">
        <v>0</v>
      </c>
      <c r="M156" s="1" t="str">
        <f>SUBSTITUTE(TEXT(B156,"dd/mm/yyyy"),"-","/")</f>
        <v>02/02/1980</v>
      </c>
      <c r="N156" s="3" t="str">
        <f t="shared" si="12"/>
        <v>02/02/1980</v>
      </c>
      <c r="O156" s="3" t="str">
        <f t="shared" si="13"/>
        <v>02/02/1980</v>
      </c>
      <c r="P156" s="1">
        <f>IF(RIGHT(C156,1)="K", LEFT(C156,LEN(C156)-1)*1000,C156)</f>
        <v>63973</v>
      </c>
      <c r="Q156" s="1" t="str">
        <f>IF(LEFT(D156,1)="M","Male","Female")</f>
        <v>Male</v>
      </c>
      <c r="R156" s="1" t="str">
        <f>TRIM(E156)</f>
        <v>Production Technician I</v>
      </c>
      <c r="S156" s="1" t="str">
        <f>IF(G156="", "To be updated", IF(OR(G156="IT&amp;IS", G156="ITIS"), "IT/IS", G156))</f>
        <v xml:space="preserve">Production       </v>
      </c>
      <c r="T156" s="2">
        <f t="shared" si="10"/>
        <v>20</v>
      </c>
      <c r="U156" s="1">
        <f t="shared" si="11"/>
        <v>3</v>
      </c>
      <c r="V156" s="1">
        <f t="shared" ca="1" si="14"/>
        <v>45</v>
      </c>
    </row>
    <row r="157" spans="1:22" x14ac:dyDescent="0.25">
      <c r="A157" s="1">
        <v>10165</v>
      </c>
      <c r="B157" s="1" t="s">
        <v>167</v>
      </c>
      <c r="C157" s="1">
        <v>71339</v>
      </c>
      <c r="D157" s="1" t="s">
        <v>22</v>
      </c>
      <c r="E157" s="1" t="s">
        <v>32</v>
      </c>
      <c r="F157" s="1" t="s">
        <v>12</v>
      </c>
      <c r="G157" s="1" t="s">
        <v>33</v>
      </c>
      <c r="H157" s="1">
        <v>15</v>
      </c>
      <c r="I157" s="1">
        <v>5</v>
      </c>
      <c r="J157" s="1">
        <v>0</v>
      </c>
      <c r="M157" s="1" t="str">
        <f>SUBSTITUTE(TEXT(B157,"dd/mm/yyyy"),"-","/")</f>
        <v>02/24/1969</v>
      </c>
      <c r="N157" s="3">
        <f t="shared" si="12"/>
        <v>25258</v>
      </c>
      <c r="O157" s="3" t="str">
        <f t="shared" si="13"/>
        <v>24/02/1969</v>
      </c>
      <c r="P157" s="1">
        <f>IF(RIGHT(C157,1)="K", LEFT(C157,LEN(C157)-1)*1000,C157)</f>
        <v>71339</v>
      </c>
      <c r="Q157" s="1" t="str">
        <f>IF(LEFT(D157,1)="M","Male","Female")</f>
        <v>Male</v>
      </c>
      <c r="R157" s="1" t="str">
        <f>TRIM(E157)</f>
        <v>Area Sales Manager</v>
      </c>
      <c r="S157" s="1" t="str">
        <f>IF(G157="", "To be updated", IF(OR(G157="IT&amp;IS", G157="ITIS"), "IT/IS", G157))</f>
        <v>Sales</v>
      </c>
      <c r="T157" s="2">
        <f t="shared" si="10"/>
        <v>15</v>
      </c>
      <c r="U157" s="1">
        <f t="shared" si="11"/>
        <v>5</v>
      </c>
      <c r="V157" s="1">
        <f t="shared" ca="1" si="14"/>
        <v>56</v>
      </c>
    </row>
    <row r="158" spans="1:22" x14ac:dyDescent="0.25">
      <c r="A158" s="1">
        <v>10113</v>
      </c>
      <c r="B158" s="1" t="s">
        <v>168</v>
      </c>
      <c r="C158" s="1">
        <v>93206</v>
      </c>
      <c r="D158" s="1" t="s">
        <v>22</v>
      </c>
      <c r="E158" s="1" t="s">
        <v>37</v>
      </c>
      <c r="F158" s="1" t="s">
        <v>12</v>
      </c>
      <c r="G158" s="1" t="s">
        <v>16</v>
      </c>
      <c r="H158" s="1">
        <v>11</v>
      </c>
      <c r="I158" s="1">
        <v>5</v>
      </c>
      <c r="J158" s="1">
        <v>6</v>
      </c>
      <c r="M158" s="1" t="str">
        <f>SUBSTITUTE(TEXT(B158,"dd/mm/yyyy"),"-","/")</f>
        <v>04/23/1986</v>
      </c>
      <c r="N158" s="3">
        <f t="shared" si="12"/>
        <v>31525</v>
      </c>
      <c r="O158" s="3" t="str">
        <f t="shared" si="13"/>
        <v>23/04/1986</v>
      </c>
      <c r="P158" s="1">
        <f>IF(RIGHT(C158,1)="K", LEFT(C158,LEN(C158)-1)*1000,C158)</f>
        <v>93206</v>
      </c>
      <c r="Q158" s="1" t="str">
        <f>IF(LEFT(D158,1)="M","Male","Female")</f>
        <v>Male</v>
      </c>
      <c r="R158" s="1" t="str">
        <f>TRIM(E158)</f>
        <v>Sr. Network Engineer</v>
      </c>
      <c r="S158" s="1" t="str">
        <f>IF(G158="", "To be updated", IF(OR(G158="IT&amp;IS", G158="ITIS"), "IT/IS", G158))</f>
        <v>IT/IS</v>
      </c>
      <c r="T158" s="2">
        <f t="shared" si="10"/>
        <v>11</v>
      </c>
      <c r="U158" s="1">
        <f t="shared" si="11"/>
        <v>5</v>
      </c>
      <c r="V158" s="1">
        <f t="shared" ca="1" si="14"/>
        <v>39</v>
      </c>
    </row>
    <row r="159" spans="1:22" x14ac:dyDescent="0.25">
      <c r="A159" s="1">
        <v>10092</v>
      </c>
      <c r="B159" s="3">
        <v>26305</v>
      </c>
      <c r="C159" s="1">
        <v>82758</v>
      </c>
      <c r="D159" s="1" t="s">
        <v>22</v>
      </c>
      <c r="E159" s="1" t="s">
        <v>30</v>
      </c>
      <c r="F159" s="1" t="s">
        <v>25</v>
      </c>
      <c r="G159" s="1" t="s">
        <v>13</v>
      </c>
      <c r="H159" s="1">
        <v>13</v>
      </c>
      <c r="I159" s="1">
        <v>4</v>
      </c>
      <c r="J159" s="1">
        <v>0</v>
      </c>
      <c r="M159" s="1" t="str">
        <f>SUBSTITUTE(TEXT(B159,"dd/mm/yyyy"),"-","/")</f>
        <v>07/01/1972</v>
      </c>
      <c r="N159" s="3" t="str">
        <f t="shared" si="12"/>
        <v>07/01/1972</v>
      </c>
      <c r="O159" s="3" t="str">
        <f t="shared" si="13"/>
        <v>07/01/1972</v>
      </c>
      <c r="P159" s="1">
        <f>IF(RIGHT(C159,1)="K", LEFT(C159,LEN(C159)-1)*1000,C159)</f>
        <v>82758</v>
      </c>
      <c r="Q159" s="1" t="str">
        <f>IF(LEFT(D159,1)="M","Male","Female")</f>
        <v>Male</v>
      </c>
      <c r="R159" s="1" t="str">
        <f>TRIM(E159)</f>
        <v>Production Manager</v>
      </c>
      <c r="S159" s="1" t="str">
        <f>IF(G159="", "To be updated", IF(OR(G159="IT&amp;IS", G159="ITIS"), "IT/IS", G159))</f>
        <v xml:space="preserve">Production       </v>
      </c>
      <c r="T159" s="2">
        <f t="shared" si="10"/>
        <v>13</v>
      </c>
      <c r="U159" s="1">
        <f t="shared" si="11"/>
        <v>4</v>
      </c>
      <c r="V159" s="1">
        <f t="shared" ca="1" si="14"/>
        <v>53</v>
      </c>
    </row>
    <row r="160" spans="1:22" x14ac:dyDescent="0.25">
      <c r="A160" s="1">
        <v>10106</v>
      </c>
      <c r="B160" s="1" t="s">
        <v>169</v>
      </c>
      <c r="C160" s="1">
        <v>66074</v>
      </c>
      <c r="D160" s="1" t="s">
        <v>17</v>
      </c>
      <c r="E160" s="1" t="s">
        <v>18</v>
      </c>
      <c r="F160" s="1" t="s">
        <v>15</v>
      </c>
      <c r="G160" s="1" t="s">
        <v>13</v>
      </c>
      <c r="H160" s="1">
        <v>13</v>
      </c>
      <c r="I160" s="1">
        <v>3</v>
      </c>
      <c r="J160" s="1">
        <v>0</v>
      </c>
      <c r="M160" s="1" t="str">
        <f>SUBSTITUTE(TEXT(B160,"dd/mm/yyyy"),"-","/")</f>
        <v>07/25/1979</v>
      </c>
      <c r="N160" s="3">
        <f t="shared" si="12"/>
        <v>29061</v>
      </c>
      <c r="O160" s="3" t="str">
        <f t="shared" si="13"/>
        <v>25/07/1979</v>
      </c>
      <c r="P160" s="1">
        <f>IF(RIGHT(C160,1)="K", LEFT(C160,LEN(C160)-1)*1000,C160)</f>
        <v>66074</v>
      </c>
      <c r="Q160" s="1" t="str">
        <f>IF(LEFT(D160,1)="M","Male","Female")</f>
        <v>Female</v>
      </c>
      <c r="R160" s="1" t="str">
        <f>TRIM(E160)</f>
        <v>Production Technician II</v>
      </c>
      <c r="S160" s="1" t="str">
        <f>IF(G160="", "To be updated", IF(OR(G160="IT&amp;IS", G160="ITIS"), "IT/IS", G160))</f>
        <v xml:space="preserve">Production       </v>
      </c>
      <c r="T160" s="2">
        <f t="shared" si="10"/>
        <v>13</v>
      </c>
      <c r="U160" s="1">
        <f t="shared" si="11"/>
        <v>3</v>
      </c>
      <c r="V160" s="1">
        <f t="shared" ca="1" si="14"/>
        <v>46</v>
      </c>
    </row>
    <row r="161" spans="1:22" x14ac:dyDescent="0.25">
      <c r="A161" s="1">
        <v>10052</v>
      </c>
      <c r="B161" s="3">
        <v>31667</v>
      </c>
      <c r="C161" s="1">
        <v>46120</v>
      </c>
      <c r="D161" s="1" t="s">
        <v>22</v>
      </c>
      <c r="E161" s="1" t="s">
        <v>11</v>
      </c>
      <c r="F161" s="1" t="s">
        <v>12</v>
      </c>
      <c r="G161" s="1" t="s">
        <v>13</v>
      </c>
      <c r="H161" s="1">
        <v>18</v>
      </c>
      <c r="I161" s="1">
        <v>5</v>
      </c>
      <c r="J161" s="1">
        <v>0</v>
      </c>
      <c r="M161" s="1" t="str">
        <f>SUBSTITUTE(TEXT(B161,"dd/mm/yyyy"),"-","/")</f>
        <v>12/09/1986</v>
      </c>
      <c r="N161" s="3" t="str">
        <f t="shared" si="12"/>
        <v>12/09/1986</v>
      </c>
      <c r="O161" s="3" t="str">
        <f t="shared" si="13"/>
        <v>12/09/1986</v>
      </c>
      <c r="P161" s="1">
        <f>IF(RIGHT(C161,1)="K", LEFT(C161,LEN(C161)-1)*1000,C161)</f>
        <v>46120</v>
      </c>
      <c r="Q161" s="1" t="str">
        <f>IF(LEFT(D161,1)="M","Male","Female")</f>
        <v>Male</v>
      </c>
      <c r="R161" s="1" t="str">
        <f>TRIM(E161)</f>
        <v>Production Technician I</v>
      </c>
      <c r="S161" s="1" t="str">
        <f>IF(G161="", "To be updated", IF(OR(G161="IT&amp;IS", G161="ITIS"), "IT/IS", G161))</f>
        <v xml:space="preserve">Production       </v>
      </c>
      <c r="T161" s="2">
        <f t="shared" si="10"/>
        <v>18</v>
      </c>
      <c r="U161" s="1">
        <f t="shared" si="11"/>
        <v>5</v>
      </c>
      <c r="V161" s="1">
        <f t="shared" ca="1" si="14"/>
        <v>39</v>
      </c>
    </row>
    <row r="162" spans="1:22" x14ac:dyDescent="0.25">
      <c r="A162" s="1">
        <v>10038</v>
      </c>
      <c r="B162" s="1" t="s">
        <v>170</v>
      </c>
      <c r="C162" s="1">
        <v>64520</v>
      </c>
      <c r="D162" s="1" t="s">
        <v>22</v>
      </c>
      <c r="E162" s="1" t="s">
        <v>31</v>
      </c>
      <c r="F162" s="1" t="s">
        <v>12</v>
      </c>
      <c r="G162" s="1" t="s">
        <v>29</v>
      </c>
      <c r="H162" s="1">
        <v>13</v>
      </c>
      <c r="I162" s="1">
        <v>4</v>
      </c>
      <c r="J162" s="1">
        <v>4</v>
      </c>
      <c r="M162" s="1" t="str">
        <f>SUBSTITUTE(TEXT(B162,"dd/mm/yyyy"),"-","/")</f>
        <v>04/26/1984</v>
      </c>
      <c r="N162" s="3">
        <f t="shared" si="12"/>
        <v>30798</v>
      </c>
      <c r="O162" s="3" t="str">
        <f t="shared" si="13"/>
        <v>26/04/1984</v>
      </c>
      <c r="P162" s="1">
        <f>IF(RIGHT(C162,1)="K", LEFT(C162,LEN(C162)-1)*1000,C162)</f>
        <v>64520</v>
      </c>
      <c r="Q162" s="1" t="str">
        <f>IF(LEFT(D162,1)="M","Male","Female")</f>
        <v>Male</v>
      </c>
      <c r="R162" s="1" t="str">
        <f>TRIM(E162)</f>
        <v>Accountant I</v>
      </c>
      <c r="S162" s="1" t="str">
        <f>IF(G162="", "To be updated", IF(OR(G162="IT&amp;IS", G162="ITIS"), "IT/IS", G162))</f>
        <v>Admin Offices</v>
      </c>
      <c r="T162" s="2">
        <f t="shared" si="10"/>
        <v>13</v>
      </c>
      <c r="U162" s="1">
        <f t="shared" si="11"/>
        <v>4</v>
      </c>
      <c r="V162" s="1">
        <f t="shared" ca="1" si="14"/>
        <v>41</v>
      </c>
    </row>
    <row r="163" spans="1:22" x14ac:dyDescent="0.25">
      <c r="A163" s="1">
        <v>10249</v>
      </c>
      <c r="B163" s="3">
        <v>30930</v>
      </c>
      <c r="C163" s="1">
        <v>61962</v>
      </c>
      <c r="D163" s="1" t="s">
        <v>22</v>
      </c>
      <c r="E163" s="1" t="s">
        <v>18</v>
      </c>
      <c r="F163" s="1" t="s">
        <v>15</v>
      </c>
      <c r="G163" s="1" t="s">
        <v>13</v>
      </c>
      <c r="H163" s="1">
        <v>18</v>
      </c>
      <c r="I163" s="1">
        <v>3</v>
      </c>
      <c r="J163" s="1">
        <v>0</v>
      </c>
      <c r="M163" s="1" t="str">
        <f>SUBSTITUTE(TEXT(B163,"dd/mm/yyyy"),"-","/")</f>
        <v>05/09/1984</v>
      </c>
      <c r="N163" s="3" t="str">
        <f t="shared" si="12"/>
        <v>05/09/1984</v>
      </c>
      <c r="O163" s="3" t="str">
        <f t="shared" si="13"/>
        <v>05/09/1984</v>
      </c>
      <c r="P163" s="1">
        <f>IF(RIGHT(C163,1)="K", LEFT(C163,LEN(C163)-1)*1000,C163)</f>
        <v>61962</v>
      </c>
      <c r="Q163" s="1" t="str">
        <f>IF(LEFT(D163,1)="M","Male","Female")</f>
        <v>Male</v>
      </c>
      <c r="R163" s="1" t="str">
        <f>TRIM(E163)</f>
        <v>Production Technician II</v>
      </c>
      <c r="S163" s="1" t="str">
        <f>IF(G163="", "To be updated", IF(OR(G163="IT&amp;IS", G163="ITIS"), "IT/IS", G163))</f>
        <v xml:space="preserve">Production       </v>
      </c>
      <c r="T163" s="2">
        <f t="shared" si="10"/>
        <v>18</v>
      </c>
      <c r="U163" s="1">
        <f t="shared" si="11"/>
        <v>3</v>
      </c>
      <c r="V163" s="1">
        <f t="shared" ca="1" si="14"/>
        <v>41</v>
      </c>
    </row>
    <row r="164" spans="1:22" x14ac:dyDescent="0.25">
      <c r="A164" s="1">
        <v>10232</v>
      </c>
      <c r="B164" s="1" t="s">
        <v>171</v>
      </c>
      <c r="C164" s="1">
        <v>81584</v>
      </c>
      <c r="D164" s="1" t="s">
        <v>17</v>
      </c>
      <c r="E164" s="1" t="s">
        <v>47</v>
      </c>
      <c r="F164" s="1" t="s">
        <v>12</v>
      </c>
      <c r="G164" s="1" t="s">
        <v>16</v>
      </c>
      <c r="H164" s="1">
        <v>18</v>
      </c>
      <c r="I164" s="1">
        <v>5</v>
      </c>
      <c r="J164" s="1">
        <v>7</v>
      </c>
      <c r="M164" s="1" t="str">
        <f>SUBSTITUTE(TEXT(B164,"dd/mm/yyyy"),"-","/")</f>
        <v>06/14/1987</v>
      </c>
      <c r="N164" s="3">
        <f t="shared" si="12"/>
        <v>31942</v>
      </c>
      <c r="O164" s="3" t="str">
        <f t="shared" si="13"/>
        <v>14/06/1987</v>
      </c>
      <c r="P164" s="1">
        <f>IF(RIGHT(C164,1)="K", LEFT(C164,LEN(C164)-1)*1000,C164)</f>
        <v>81584</v>
      </c>
      <c r="Q164" s="1" t="str">
        <f>IF(LEFT(D164,1)="M","Male","Female")</f>
        <v>Female</v>
      </c>
      <c r="R164" s="1" t="str">
        <f>TRIM(E164)</f>
        <v>Senior BI Developer</v>
      </c>
      <c r="S164" s="1" t="str">
        <f>IF(G164="", "To be updated", IF(OR(G164="IT&amp;IS", G164="ITIS"), "IT/IS", G164))</f>
        <v>IT/IS</v>
      </c>
      <c r="T164" s="2">
        <f t="shared" si="10"/>
        <v>18</v>
      </c>
      <c r="U164" s="1">
        <f t="shared" si="11"/>
        <v>5</v>
      </c>
      <c r="V164" s="1">
        <f t="shared" ca="1" si="14"/>
        <v>38</v>
      </c>
    </row>
    <row r="165" spans="1:22" x14ac:dyDescent="0.25">
      <c r="A165" s="1">
        <v>10087</v>
      </c>
      <c r="B165" s="1" t="s">
        <v>172</v>
      </c>
      <c r="C165" s="1">
        <v>63676</v>
      </c>
      <c r="D165" s="1" t="s">
        <v>17</v>
      </c>
      <c r="E165" s="1" t="s">
        <v>11</v>
      </c>
      <c r="F165" s="1" t="s">
        <v>15</v>
      </c>
      <c r="G165" s="1" t="s">
        <v>13</v>
      </c>
      <c r="H165" s="1">
        <v>12</v>
      </c>
      <c r="I165" s="1">
        <v>3</v>
      </c>
      <c r="J165" s="1">
        <v>0</v>
      </c>
      <c r="M165" s="1" t="str">
        <f>SUBSTITUTE(TEXT(B165,"dd/mm/yyyy"),"-","/")</f>
        <v>01/17/1979</v>
      </c>
      <c r="N165" s="3">
        <f t="shared" si="12"/>
        <v>28872</v>
      </c>
      <c r="O165" s="3" t="str">
        <f t="shared" si="13"/>
        <v>17/01/1979</v>
      </c>
      <c r="P165" s="1">
        <f>IF(RIGHT(C165,1)="K", LEFT(C165,LEN(C165)-1)*1000,C165)</f>
        <v>63676</v>
      </c>
      <c r="Q165" s="1" t="str">
        <f>IF(LEFT(D165,1)="M","Male","Female")</f>
        <v>Female</v>
      </c>
      <c r="R165" s="1" t="str">
        <f>TRIM(E165)</f>
        <v>Production Technician I</v>
      </c>
      <c r="S165" s="1" t="str">
        <f>IF(G165="", "To be updated", IF(OR(G165="IT&amp;IS", G165="ITIS"), "IT/IS", G165))</f>
        <v xml:space="preserve">Production       </v>
      </c>
      <c r="T165" s="2">
        <f t="shared" si="10"/>
        <v>12</v>
      </c>
      <c r="U165" s="1">
        <f t="shared" si="11"/>
        <v>3</v>
      </c>
      <c r="V165" s="1">
        <f t="shared" ca="1" si="14"/>
        <v>46</v>
      </c>
    </row>
    <row r="166" spans="1:22" x14ac:dyDescent="0.25">
      <c r="A166" s="1">
        <v>10134</v>
      </c>
      <c r="B166" s="3">
        <v>30961</v>
      </c>
      <c r="C166" s="1">
        <v>93046</v>
      </c>
      <c r="D166" s="1" t="s">
        <v>22</v>
      </c>
      <c r="E166" s="1" t="s">
        <v>48</v>
      </c>
      <c r="F166" s="1" t="s">
        <v>12</v>
      </c>
      <c r="G166" s="1" t="s">
        <v>29</v>
      </c>
      <c r="H166" s="1">
        <v>13</v>
      </c>
      <c r="I166" s="1">
        <v>4</v>
      </c>
      <c r="J166" s="1">
        <v>0</v>
      </c>
      <c r="M166" s="1" t="str">
        <f>SUBSTITUTE(TEXT(B166,"dd/mm/yyyy"),"-","/")</f>
        <v>06/10/1984</v>
      </c>
      <c r="N166" s="3" t="str">
        <f t="shared" si="12"/>
        <v>06/10/1984</v>
      </c>
      <c r="O166" s="3" t="str">
        <f t="shared" si="13"/>
        <v>06/10/1984</v>
      </c>
      <c r="P166" s="1">
        <f>IF(RIGHT(C166,1)="K", LEFT(C166,LEN(C166)-1)*1000,C166)</f>
        <v>93046</v>
      </c>
      <c r="Q166" s="1" t="str">
        <f>IF(LEFT(D166,1)="M","Male","Female")</f>
        <v>Male</v>
      </c>
      <c r="R166" s="1" t="str">
        <f>TRIM(E166)</f>
        <v>Shared Services Manager</v>
      </c>
      <c r="S166" s="1" t="str">
        <f>IF(G166="", "To be updated", IF(OR(G166="IT&amp;IS", G166="ITIS"), "IT/IS", G166))</f>
        <v>Admin Offices</v>
      </c>
      <c r="T166" s="2">
        <f t="shared" si="10"/>
        <v>13</v>
      </c>
      <c r="U166" s="1">
        <f t="shared" si="11"/>
        <v>4</v>
      </c>
      <c r="V166" s="1">
        <f t="shared" ca="1" si="14"/>
        <v>40</v>
      </c>
    </row>
    <row r="167" spans="1:22" x14ac:dyDescent="0.25">
      <c r="A167" s="1">
        <v>10251</v>
      </c>
      <c r="B167" s="3">
        <v>29991</v>
      </c>
      <c r="C167" s="1">
        <v>64738</v>
      </c>
      <c r="D167" s="1" t="s">
        <v>22</v>
      </c>
      <c r="E167" s="1" t="s">
        <v>11</v>
      </c>
      <c r="F167" s="1" t="s">
        <v>12</v>
      </c>
      <c r="G167" s="1" t="s">
        <v>13</v>
      </c>
      <c r="H167" s="1">
        <v>15</v>
      </c>
      <c r="I167" s="1">
        <v>3</v>
      </c>
      <c r="J167" s="1">
        <v>0</v>
      </c>
      <c r="M167" s="1" t="str">
        <f>SUBSTITUTE(TEXT(B167,"dd/mm/yyyy"),"-","/")</f>
        <v>09/02/1982</v>
      </c>
      <c r="N167" s="3" t="str">
        <f t="shared" si="12"/>
        <v>09/02/1982</v>
      </c>
      <c r="O167" s="3" t="str">
        <f t="shared" si="13"/>
        <v>09/02/1982</v>
      </c>
      <c r="P167" s="1">
        <f>IF(RIGHT(C167,1)="K", LEFT(C167,LEN(C167)-1)*1000,C167)</f>
        <v>64738</v>
      </c>
      <c r="Q167" s="1" t="str">
        <f>IF(LEFT(D167,1)="M","Male","Female")</f>
        <v>Male</v>
      </c>
      <c r="R167" s="1" t="str">
        <f>TRIM(E167)</f>
        <v>Production Technician I</v>
      </c>
      <c r="S167" s="1" t="str">
        <f>IF(G167="", "To be updated", IF(OR(G167="IT&amp;IS", G167="ITIS"), "IT/IS", G167))</f>
        <v xml:space="preserve">Production       </v>
      </c>
      <c r="T167" s="2">
        <f t="shared" si="10"/>
        <v>15</v>
      </c>
      <c r="U167" s="1">
        <f t="shared" si="11"/>
        <v>3</v>
      </c>
      <c r="V167" s="1">
        <f t="shared" ca="1" si="14"/>
        <v>43</v>
      </c>
    </row>
    <row r="168" spans="1:22" x14ac:dyDescent="0.25">
      <c r="A168" s="1">
        <v>10103</v>
      </c>
      <c r="B168" s="1" t="s">
        <v>173</v>
      </c>
      <c r="C168" s="1">
        <v>70468</v>
      </c>
      <c r="D168" s="1" t="s">
        <v>22</v>
      </c>
      <c r="E168" s="1" t="s">
        <v>32</v>
      </c>
      <c r="F168" s="1" t="s">
        <v>12</v>
      </c>
      <c r="G168" s="1" t="s">
        <v>33</v>
      </c>
      <c r="H168" s="1">
        <v>18</v>
      </c>
      <c r="I168" s="1">
        <v>3</v>
      </c>
      <c r="J168" s="1">
        <v>0</v>
      </c>
      <c r="M168" s="1" t="str">
        <f>SUBSTITUTE(TEXT(B168,"dd/mm/yyyy"),"-","/")</f>
        <v>12/27/1988</v>
      </c>
      <c r="N168" s="3">
        <f t="shared" si="12"/>
        <v>32504</v>
      </c>
      <c r="O168" s="3" t="str">
        <f t="shared" si="13"/>
        <v>27/12/1988</v>
      </c>
      <c r="P168" s="1">
        <f>IF(RIGHT(C168,1)="K", LEFT(C168,LEN(C168)-1)*1000,C168)</f>
        <v>70468</v>
      </c>
      <c r="Q168" s="1" t="str">
        <f>IF(LEFT(D168,1)="M","Male","Female")</f>
        <v>Male</v>
      </c>
      <c r="R168" s="1" t="str">
        <f>TRIM(E168)</f>
        <v>Area Sales Manager</v>
      </c>
      <c r="S168" s="1" t="str">
        <f>IF(G168="", "To be updated", IF(OR(G168="IT&amp;IS", G168="ITIS"), "IT/IS", G168))</f>
        <v>Sales</v>
      </c>
      <c r="T168" s="2">
        <f t="shared" si="10"/>
        <v>18</v>
      </c>
      <c r="U168" s="1">
        <f t="shared" si="11"/>
        <v>3</v>
      </c>
      <c r="V168" s="1">
        <f t="shared" ca="1" si="14"/>
        <v>36</v>
      </c>
    </row>
    <row r="169" spans="1:22" x14ac:dyDescent="0.25">
      <c r="A169" s="1">
        <v>10017</v>
      </c>
      <c r="B169" s="1" t="s">
        <v>174</v>
      </c>
      <c r="C169" s="1">
        <v>77915</v>
      </c>
      <c r="D169" s="1" t="s">
        <v>17</v>
      </c>
      <c r="E169" s="1" t="s">
        <v>30</v>
      </c>
      <c r="F169" s="1" t="s">
        <v>12</v>
      </c>
      <c r="G169" s="1" t="s">
        <v>13</v>
      </c>
      <c r="H169" s="1">
        <v>15</v>
      </c>
      <c r="I169" s="1">
        <v>3</v>
      </c>
      <c r="J169" s="1">
        <v>0</v>
      </c>
      <c r="M169" s="1" t="str">
        <f>SUBSTITUTE(TEXT(B169,"dd/mm/yyyy"),"-","/")</f>
        <v>10/26/1981</v>
      </c>
      <c r="N169" s="3">
        <f t="shared" si="12"/>
        <v>29885</v>
      </c>
      <c r="O169" s="3" t="str">
        <f t="shared" si="13"/>
        <v>26/10/1981</v>
      </c>
      <c r="P169" s="1">
        <f>IF(RIGHT(C169,1)="K", LEFT(C169,LEN(C169)-1)*1000,C169)</f>
        <v>77915</v>
      </c>
      <c r="Q169" s="1" t="str">
        <f>IF(LEFT(D169,1)="M","Male","Female")</f>
        <v>Female</v>
      </c>
      <c r="R169" s="1" t="str">
        <f>TRIM(E169)</f>
        <v>Production Manager</v>
      </c>
      <c r="S169" s="1" t="str">
        <f>IF(G169="", "To be updated", IF(OR(G169="IT&amp;IS", G169="ITIS"), "IT/IS", G169))</f>
        <v xml:space="preserve">Production       </v>
      </c>
      <c r="T169" s="2">
        <f t="shared" si="10"/>
        <v>15</v>
      </c>
      <c r="U169" s="1">
        <f t="shared" si="11"/>
        <v>3</v>
      </c>
      <c r="V169" s="1">
        <f t="shared" ca="1" si="14"/>
        <v>43</v>
      </c>
    </row>
    <row r="170" spans="1:22" x14ac:dyDescent="0.25">
      <c r="A170" s="1">
        <v>10186</v>
      </c>
      <c r="B170" s="1" t="s">
        <v>175</v>
      </c>
      <c r="C170" s="1">
        <v>52624</v>
      </c>
      <c r="D170" s="1" t="s">
        <v>17</v>
      </c>
      <c r="E170" s="1" t="s">
        <v>11</v>
      </c>
      <c r="F170" s="1" t="s">
        <v>15</v>
      </c>
      <c r="G170" s="1" t="s">
        <v>13</v>
      </c>
      <c r="H170" s="1"/>
      <c r="I170" s="1">
        <v>4</v>
      </c>
      <c r="J170" s="1">
        <v>0</v>
      </c>
      <c r="M170" s="1" t="str">
        <f>SUBSTITUTE(TEXT(B170,"dd/mm/yyyy"),"-","/")</f>
        <v>03/26/1981</v>
      </c>
      <c r="N170" s="3">
        <f t="shared" si="12"/>
        <v>29671</v>
      </c>
      <c r="O170" s="3" t="str">
        <f t="shared" si="13"/>
        <v>26/03/1981</v>
      </c>
      <c r="P170" s="1">
        <f>IF(RIGHT(C170,1)="K", LEFT(C170,LEN(C170)-1)*1000,C170)</f>
        <v>52624</v>
      </c>
      <c r="Q170" s="1" t="str">
        <f>IF(LEFT(D170,1)="M","Male","Female")</f>
        <v>Female</v>
      </c>
      <c r="R170" s="1" t="str">
        <f>TRIM(E170)</f>
        <v>Production Technician I</v>
      </c>
      <c r="S170" s="1" t="str">
        <f>IF(G170="", "To be updated", IF(OR(G170="IT&amp;IS", G170="ITIS"), "IT/IS", G170))</f>
        <v xml:space="preserve">Production       </v>
      </c>
      <c r="T170" s="2">
        <f t="shared" si="10"/>
        <v>15.260586319218241</v>
      </c>
      <c r="U170" s="1">
        <f t="shared" si="11"/>
        <v>4</v>
      </c>
      <c r="V170" s="1">
        <f t="shared" ca="1" si="14"/>
        <v>44</v>
      </c>
    </row>
    <row r="171" spans="1:22" x14ac:dyDescent="0.25">
      <c r="A171" s="1">
        <v>10137</v>
      </c>
      <c r="B171" s="1" t="s">
        <v>176</v>
      </c>
      <c r="C171" s="1">
        <v>63450</v>
      </c>
      <c r="D171" s="1" t="s">
        <v>22</v>
      </c>
      <c r="E171" s="1" t="s">
        <v>18</v>
      </c>
      <c r="F171" s="1" t="s">
        <v>12</v>
      </c>
      <c r="G171" s="1" t="s">
        <v>13</v>
      </c>
      <c r="H171" s="1">
        <v>16</v>
      </c>
      <c r="I171" s="1">
        <v>3</v>
      </c>
      <c r="J171" s="1">
        <v>0</v>
      </c>
      <c r="M171" s="1" t="str">
        <f>SUBSTITUTE(TEXT(B171,"dd/mm/yyyy"),"-","/")</f>
        <v>03/19/1979</v>
      </c>
      <c r="N171" s="3">
        <f t="shared" si="12"/>
        <v>28933</v>
      </c>
      <c r="O171" s="3" t="str">
        <f t="shared" si="13"/>
        <v>19/03/1979</v>
      </c>
      <c r="P171" s="1">
        <f>IF(RIGHT(C171,1)="K", LEFT(C171,LEN(C171)-1)*1000,C171)</f>
        <v>63450</v>
      </c>
      <c r="Q171" s="1" t="str">
        <f>IF(LEFT(D171,1)="M","Male","Female")</f>
        <v>Male</v>
      </c>
      <c r="R171" s="1" t="str">
        <f>TRIM(E171)</f>
        <v>Production Technician II</v>
      </c>
      <c r="S171" s="1" t="str">
        <f>IF(G171="", "To be updated", IF(OR(G171="IT&amp;IS", G171="ITIS"), "IT/IS", G171))</f>
        <v xml:space="preserve">Production       </v>
      </c>
      <c r="T171" s="2">
        <f t="shared" si="10"/>
        <v>16</v>
      </c>
      <c r="U171" s="1">
        <f t="shared" si="11"/>
        <v>3</v>
      </c>
      <c r="V171" s="1">
        <f t="shared" ca="1" si="14"/>
        <v>46</v>
      </c>
    </row>
    <row r="172" spans="1:22" x14ac:dyDescent="0.25">
      <c r="A172" s="1">
        <v>10008</v>
      </c>
      <c r="B172" s="3">
        <v>32273</v>
      </c>
      <c r="C172" s="1">
        <v>51777</v>
      </c>
      <c r="D172" s="1" t="s">
        <v>17</v>
      </c>
      <c r="E172" s="1" t="s">
        <v>23</v>
      </c>
      <c r="F172" s="1" t="s">
        <v>12</v>
      </c>
      <c r="G172" s="1" t="s">
        <v>16</v>
      </c>
      <c r="H172" s="1">
        <v>19</v>
      </c>
      <c r="I172" s="1">
        <v>4</v>
      </c>
      <c r="J172" s="1">
        <v>5</v>
      </c>
      <c r="M172" s="1" t="str">
        <f>SUBSTITUTE(TEXT(B172,"dd/mm/yyyy"),"-","/")</f>
        <v>10/05/1988</v>
      </c>
      <c r="N172" s="3" t="str">
        <f t="shared" si="12"/>
        <v>10/05/1988</v>
      </c>
      <c r="O172" s="3" t="str">
        <f t="shared" si="13"/>
        <v>10/05/1988</v>
      </c>
      <c r="P172" s="1">
        <f>IF(RIGHT(C172,1)="K", LEFT(C172,LEN(C172)-1)*1000,C172)</f>
        <v>51777</v>
      </c>
      <c r="Q172" s="1" t="str">
        <f>IF(LEFT(D172,1)="M","Male","Female")</f>
        <v>Female</v>
      </c>
      <c r="R172" s="1" t="str">
        <f>TRIM(E172)</f>
        <v>IT Support</v>
      </c>
      <c r="S172" s="1" t="str">
        <f>IF(G172="", "To be updated", IF(OR(G172="IT&amp;IS", G172="ITIS"), "IT/IS", G172))</f>
        <v>IT/IS</v>
      </c>
      <c r="T172" s="2">
        <f t="shared" si="10"/>
        <v>19</v>
      </c>
      <c r="U172" s="1">
        <f t="shared" si="11"/>
        <v>4</v>
      </c>
      <c r="V172" s="1">
        <f t="shared" ca="1" si="14"/>
        <v>37</v>
      </c>
    </row>
    <row r="173" spans="1:22" x14ac:dyDescent="0.25">
      <c r="A173" s="1">
        <v>10096</v>
      </c>
      <c r="B173" s="1" t="s">
        <v>178</v>
      </c>
      <c r="C173" s="1">
        <v>67237</v>
      </c>
      <c r="D173" s="1" t="s">
        <v>17</v>
      </c>
      <c r="E173" s="1" t="s">
        <v>18</v>
      </c>
      <c r="F173" s="1" t="s">
        <v>15</v>
      </c>
      <c r="G173" s="1" t="s">
        <v>13</v>
      </c>
      <c r="H173" s="1">
        <v>14</v>
      </c>
      <c r="I173" s="1">
        <v>4</v>
      </c>
      <c r="J173" s="1">
        <v>0</v>
      </c>
      <c r="M173" s="1" t="str">
        <f>SUBSTITUTE(TEXT(B173,"dd/mm/yyyy"),"-","/")</f>
        <v>12/26/1976</v>
      </c>
      <c r="N173" s="3">
        <f t="shared" si="12"/>
        <v>28120</v>
      </c>
      <c r="O173" s="3" t="str">
        <f t="shared" si="13"/>
        <v>26/12/1976</v>
      </c>
      <c r="P173" s="1">
        <f>IF(RIGHT(C173,1)="K", LEFT(C173,LEN(C173)-1)*1000,C173)</f>
        <v>67237</v>
      </c>
      <c r="Q173" s="1" t="str">
        <f>IF(LEFT(D173,1)="M","Male","Female")</f>
        <v>Female</v>
      </c>
      <c r="R173" s="1" t="str">
        <f>TRIM(E173)</f>
        <v>Production Technician II</v>
      </c>
      <c r="S173" s="1" t="str">
        <f>IF(G173="", "To be updated", IF(OR(G173="IT&amp;IS", G173="ITIS"), "IT/IS", G173))</f>
        <v xml:space="preserve">Production       </v>
      </c>
      <c r="T173" s="2">
        <f t="shared" si="10"/>
        <v>14</v>
      </c>
      <c r="U173" s="1">
        <f t="shared" si="11"/>
        <v>4</v>
      </c>
      <c r="V173" s="1">
        <f t="shared" ca="1" si="14"/>
        <v>48</v>
      </c>
    </row>
    <row r="174" spans="1:22" x14ac:dyDescent="0.25">
      <c r="A174" s="1">
        <v>10035</v>
      </c>
      <c r="B174" s="1" t="s">
        <v>177</v>
      </c>
      <c r="C174" s="1">
        <v>73330</v>
      </c>
      <c r="D174" s="1" t="s">
        <v>17</v>
      </c>
      <c r="E174" s="1" t="s">
        <v>18</v>
      </c>
      <c r="F174" s="1" t="s">
        <v>12</v>
      </c>
      <c r="G174" s="1" t="s">
        <v>13</v>
      </c>
      <c r="H174" s="1">
        <v>12</v>
      </c>
      <c r="I174" s="1">
        <v>4</v>
      </c>
      <c r="J174" s="1">
        <v>0</v>
      </c>
      <c r="M174" s="1" t="str">
        <f>SUBSTITUTE(TEXT(B174,"dd/mm/yyyy"),"-","/")</f>
        <v>03/28/1982</v>
      </c>
      <c r="N174" s="3">
        <f t="shared" si="12"/>
        <v>30038</v>
      </c>
      <c r="O174" s="3" t="str">
        <f t="shared" si="13"/>
        <v>28/03/1982</v>
      </c>
      <c r="P174" s="1">
        <f>IF(RIGHT(C174,1)="K", LEFT(C174,LEN(C174)-1)*1000,C174)</f>
        <v>73330</v>
      </c>
      <c r="Q174" s="1" t="str">
        <f>IF(LEFT(D174,1)="M","Male","Female")</f>
        <v>Female</v>
      </c>
      <c r="R174" s="1" t="str">
        <f>TRIM(E174)</f>
        <v>Production Technician II</v>
      </c>
      <c r="S174" s="1" t="str">
        <f>IF(G174="", "To be updated", IF(OR(G174="IT&amp;IS", G174="ITIS"), "IT/IS", G174))</f>
        <v xml:space="preserve">Production       </v>
      </c>
      <c r="T174" s="2">
        <f t="shared" si="10"/>
        <v>12</v>
      </c>
      <c r="U174" s="1">
        <f t="shared" si="11"/>
        <v>4</v>
      </c>
      <c r="V174" s="1">
        <f t="shared" ca="1" si="14"/>
        <v>43</v>
      </c>
    </row>
    <row r="175" spans="1:22" x14ac:dyDescent="0.25">
      <c r="A175" s="1">
        <v>10057</v>
      </c>
      <c r="B175" s="1" t="s">
        <v>179</v>
      </c>
      <c r="C175" s="1" t="s">
        <v>58</v>
      </c>
      <c r="D175" s="1" t="s">
        <v>17</v>
      </c>
      <c r="E175" s="1" t="s">
        <v>11</v>
      </c>
      <c r="F175" s="1" t="s">
        <v>12</v>
      </c>
      <c r="G175" s="1" t="s">
        <v>13</v>
      </c>
      <c r="H175" s="1">
        <v>11</v>
      </c>
      <c r="I175" s="1">
        <v>3</v>
      </c>
      <c r="J175" s="1">
        <v>0</v>
      </c>
      <c r="M175" s="1" t="str">
        <f>SUBSTITUTE(TEXT(B175,"dd/mm/yyyy"),"-","/")</f>
        <v>10/22/1975</v>
      </c>
      <c r="N175" s="3">
        <f t="shared" si="12"/>
        <v>27689</v>
      </c>
      <c r="O175" s="3" t="str">
        <f t="shared" si="13"/>
        <v>22/10/1975</v>
      </c>
      <c r="P175" s="1">
        <f>IF(RIGHT(C175,1)="K", LEFT(C175,LEN(C175)-1)*1000,C175)</f>
        <v>52000</v>
      </c>
      <c r="Q175" s="1" t="str">
        <f>IF(LEFT(D175,1)="M","Male","Female")</f>
        <v>Female</v>
      </c>
      <c r="R175" s="1" t="str">
        <f>TRIM(E175)</f>
        <v>Production Technician I</v>
      </c>
      <c r="S175" s="1" t="str">
        <f>IF(G175="", "To be updated", IF(OR(G175="IT&amp;IS", G175="ITIS"), "IT/IS", G175))</f>
        <v xml:space="preserve">Production       </v>
      </c>
      <c r="T175" s="2">
        <f t="shared" si="10"/>
        <v>11</v>
      </c>
      <c r="U175" s="1">
        <f t="shared" si="11"/>
        <v>3</v>
      </c>
      <c r="V175" s="1">
        <f t="shared" ca="1" si="14"/>
        <v>49</v>
      </c>
    </row>
    <row r="176" spans="1:22" x14ac:dyDescent="0.25">
      <c r="A176" s="1">
        <v>10004</v>
      </c>
      <c r="B176" s="1" t="s">
        <v>181</v>
      </c>
      <c r="C176" s="1">
        <v>47434</v>
      </c>
      <c r="D176" s="1" t="s">
        <v>17</v>
      </c>
      <c r="E176" s="1" t="s">
        <v>11</v>
      </c>
      <c r="F176" s="1" t="s">
        <v>15</v>
      </c>
      <c r="G176" s="1" t="s">
        <v>13</v>
      </c>
      <c r="H176" s="1">
        <v>13</v>
      </c>
      <c r="I176" s="1">
        <v>4</v>
      </c>
      <c r="J176" s="1">
        <v>0</v>
      </c>
      <c r="M176" s="1" t="str">
        <f>SUBSTITUTE(TEXT(B176,"dd/mm/yyyy"),"-","/")</f>
        <v>02/14/1973</v>
      </c>
      <c r="N176" s="3">
        <f t="shared" si="12"/>
        <v>26709</v>
      </c>
      <c r="O176" s="3" t="str">
        <f t="shared" si="13"/>
        <v>14/02/1973</v>
      </c>
      <c r="P176" s="1">
        <f>IF(RIGHT(C176,1)="K", LEFT(C176,LEN(C176)-1)*1000,C176)</f>
        <v>47434</v>
      </c>
      <c r="Q176" s="1" t="str">
        <f>IF(LEFT(D176,1)="M","Male","Female")</f>
        <v>Female</v>
      </c>
      <c r="R176" s="1" t="str">
        <f>TRIM(E176)</f>
        <v>Production Technician I</v>
      </c>
      <c r="S176" s="1" t="str">
        <f>IF(G176="", "To be updated", IF(OR(G176="IT&amp;IS", G176="ITIS"), "IT/IS", G176))</f>
        <v xml:space="preserve">Production       </v>
      </c>
      <c r="T176" s="2">
        <f t="shared" si="10"/>
        <v>13</v>
      </c>
      <c r="U176" s="1">
        <f t="shared" si="11"/>
        <v>4</v>
      </c>
      <c r="V176" s="1">
        <f t="shared" ca="1" si="14"/>
        <v>52</v>
      </c>
    </row>
    <row r="177" spans="1:22" x14ac:dyDescent="0.25">
      <c r="A177" s="1">
        <v>10191</v>
      </c>
      <c r="B177" s="3">
        <v>26553</v>
      </c>
      <c r="C177" s="1">
        <v>52788</v>
      </c>
      <c r="D177" s="1" t="s">
        <v>22</v>
      </c>
      <c r="E177" s="1" t="s">
        <v>11</v>
      </c>
      <c r="F177" s="1" t="s">
        <v>15</v>
      </c>
      <c r="G177" s="1" t="s">
        <v>13</v>
      </c>
      <c r="H177" s="1">
        <v>18</v>
      </c>
      <c r="I177" s="1">
        <v>4</v>
      </c>
      <c r="J177" s="1">
        <v>0</v>
      </c>
      <c r="M177" s="1" t="str">
        <f>SUBSTITUTE(TEXT(B177,"dd/mm/yyyy"),"-","/")</f>
        <v>11/09/1972</v>
      </c>
      <c r="N177" s="3" t="str">
        <f t="shared" si="12"/>
        <v>11/09/1972</v>
      </c>
      <c r="O177" s="3" t="str">
        <f t="shared" si="13"/>
        <v>11/09/1972</v>
      </c>
      <c r="P177" s="1">
        <f>IF(RIGHT(C177,1)="K", LEFT(C177,LEN(C177)-1)*1000,C177)</f>
        <v>52788</v>
      </c>
      <c r="Q177" s="1" t="str">
        <f>IF(LEFT(D177,1)="M","Male","Female")</f>
        <v>Male</v>
      </c>
      <c r="R177" s="1" t="str">
        <f>TRIM(E177)</f>
        <v>Production Technician I</v>
      </c>
      <c r="S177" s="1" t="str">
        <f>IF(G177="", "To be updated", IF(OR(G177="IT&amp;IS", G177="ITIS"), "IT/IS", G177))</f>
        <v xml:space="preserve">Production       </v>
      </c>
      <c r="T177" s="2">
        <f t="shared" si="10"/>
        <v>18</v>
      </c>
      <c r="U177" s="1">
        <f t="shared" si="11"/>
        <v>4</v>
      </c>
      <c r="V177" s="1">
        <f t="shared" ca="1" si="14"/>
        <v>53</v>
      </c>
    </row>
    <row r="178" spans="1:22" x14ac:dyDescent="0.25">
      <c r="A178" s="1">
        <v>10219</v>
      </c>
      <c r="B178" s="3">
        <v>31600</v>
      </c>
      <c r="C178" s="1">
        <v>45395</v>
      </c>
      <c r="D178" s="1" t="s">
        <v>17</v>
      </c>
      <c r="E178" s="1" t="s">
        <v>11</v>
      </c>
      <c r="F178" s="1" t="s">
        <v>12</v>
      </c>
      <c r="G178" s="1" t="s">
        <v>13</v>
      </c>
      <c r="H178" s="1">
        <v>11</v>
      </c>
      <c r="I178" s="1">
        <v>4</v>
      </c>
      <c r="J178" s="1">
        <v>0</v>
      </c>
      <c r="M178" s="1" t="str">
        <f>SUBSTITUTE(TEXT(B178,"dd/mm/yyyy"),"-","/")</f>
        <v>07/07/1986</v>
      </c>
      <c r="N178" s="3" t="str">
        <f t="shared" si="12"/>
        <v>07/07/1986</v>
      </c>
      <c r="O178" s="3" t="str">
        <f t="shared" si="13"/>
        <v>07/07/1986</v>
      </c>
      <c r="P178" s="1">
        <f>IF(RIGHT(C178,1)="K", LEFT(C178,LEN(C178)-1)*1000,C178)</f>
        <v>45395</v>
      </c>
      <c r="Q178" s="1" t="str">
        <f>IF(LEFT(D178,1)="M","Male","Female")</f>
        <v>Female</v>
      </c>
      <c r="R178" s="1" t="str">
        <f>TRIM(E178)</f>
        <v>Production Technician I</v>
      </c>
      <c r="S178" s="1" t="str">
        <f>IF(G178="", "To be updated", IF(OR(G178="IT&amp;IS", G178="ITIS"), "IT/IS", G178))</f>
        <v xml:space="preserve">Production       </v>
      </c>
      <c r="T178" s="2">
        <f t="shared" si="10"/>
        <v>11</v>
      </c>
      <c r="U178" s="1">
        <f t="shared" si="11"/>
        <v>4</v>
      </c>
      <c r="V178" s="1">
        <f t="shared" ca="1" si="14"/>
        <v>39</v>
      </c>
    </row>
    <row r="179" spans="1:22" x14ac:dyDescent="0.25">
      <c r="A179" s="1">
        <v>10077</v>
      </c>
      <c r="B179" s="1" t="s">
        <v>180</v>
      </c>
      <c r="C179" s="1">
        <v>62385</v>
      </c>
      <c r="D179" s="1" t="s">
        <v>17</v>
      </c>
      <c r="E179" s="1" t="s">
        <v>18</v>
      </c>
      <c r="F179" s="1" t="s">
        <v>12</v>
      </c>
      <c r="G179" s="1" t="s">
        <v>13</v>
      </c>
      <c r="H179" s="1">
        <v>12</v>
      </c>
      <c r="I179" s="1">
        <v>3</v>
      </c>
      <c r="J179" s="1">
        <v>0</v>
      </c>
      <c r="M179" s="1" t="str">
        <f>SUBSTITUTE(TEXT(B179,"dd/mm/yyyy"),"-","/")</f>
        <v>08/25/1976</v>
      </c>
      <c r="N179" s="3">
        <f t="shared" si="12"/>
        <v>27997</v>
      </c>
      <c r="O179" s="3" t="str">
        <f t="shared" si="13"/>
        <v>25/08/1976</v>
      </c>
      <c r="P179" s="1">
        <f>IF(RIGHT(C179,1)="K", LEFT(C179,LEN(C179)-1)*1000,C179)</f>
        <v>62385</v>
      </c>
      <c r="Q179" s="1" t="str">
        <f>IF(LEFT(D179,1)="M","Male","Female")</f>
        <v>Female</v>
      </c>
      <c r="R179" s="1" t="str">
        <f>TRIM(E179)</f>
        <v>Production Technician II</v>
      </c>
      <c r="S179" s="1" t="str">
        <f>IF(G179="", "To be updated", IF(OR(G179="IT&amp;IS", G179="ITIS"), "IT/IS", G179))</f>
        <v xml:space="preserve">Production       </v>
      </c>
      <c r="T179" s="2">
        <f t="shared" si="10"/>
        <v>12</v>
      </c>
      <c r="U179" s="1">
        <f t="shared" si="11"/>
        <v>3</v>
      </c>
      <c r="V179" s="1">
        <f t="shared" ca="1" si="14"/>
        <v>49</v>
      </c>
    </row>
    <row r="180" spans="1:22" x14ac:dyDescent="0.25">
      <c r="A180" s="1">
        <v>10073</v>
      </c>
      <c r="B180" s="3">
        <v>31697</v>
      </c>
      <c r="C180" s="1">
        <v>68407</v>
      </c>
      <c r="D180" s="1" t="s">
        <v>17</v>
      </c>
      <c r="E180" s="1" t="s">
        <v>18</v>
      </c>
      <c r="F180" s="1" t="s">
        <v>15</v>
      </c>
      <c r="G180" s="1" t="s">
        <v>13</v>
      </c>
      <c r="H180" s="1">
        <v>11</v>
      </c>
      <c r="I180" s="1">
        <v>4</v>
      </c>
      <c r="J180" s="1">
        <v>0</v>
      </c>
      <c r="M180" s="1" t="str">
        <f>SUBSTITUTE(TEXT(B180,"dd/mm/yyyy"),"-","/")</f>
        <v>12/10/1986</v>
      </c>
      <c r="N180" s="3" t="str">
        <f t="shared" si="12"/>
        <v>12/10/1986</v>
      </c>
      <c r="O180" s="3" t="str">
        <f t="shared" si="13"/>
        <v>12/10/1986</v>
      </c>
      <c r="P180" s="1">
        <f>IF(RIGHT(C180,1)="K", LEFT(C180,LEN(C180)-1)*1000,C180)</f>
        <v>68407</v>
      </c>
      <c r="Q180" s="1" t="str">
        <f>IF(LEFT(D180,1)="M","Male","Female")</f>
        <v>Female</v>
      </c>
      <c r="R180" s="1" t="str">
        <f>TRIM(E180)</f>
        <v>Production Technician II</v>
      </c>
      <c r="S180" s="1" t="str">
        <f>IF(G180="", "To be updated", IF(OR(G180="IT&amp;IS", G180="ITIS"), "IT/IS", G180))</f>
        <v xml:space="preserve">Production       </v>
      </c>
      <c r="T180" s="2">
        <f t="shared" si="10"/>
        <v>11</v>
      </c>
      <c r="U180" s="1">
        <f t="shared" si="11"/>
        <v>4</v>
      </c>
      <c r="V180" s="1">
        <f t="shared" ca="1" si="14"/>
        <v>38</v>
      </c>
    </row>
    <row r="181" spans="1:22" x14ac:dyDescent="0.25">
      <c r="A181" s="1">
        <v>10279</v>
      </c>
      <c r="B181" s="3">
        <v>27221</v>
      </c>
      <c r="C181" s="1">
        <v>61349</v>
      </c>
      <c r="D181" s="1" t="s">
        <v>17</v>
      </c>
      <c r="E181" s="1" t="s">
        <v>11</v>
      </c>
      <c r="F181" s="1" t="s">
        <v>12</v>
      </c>
      <c r="G181" s="1" t="s">
        <v>13</v>
      </c>
      <c r="H181" s="1">
        <v>13</v>
      </c>
      <c r="I181" s="1">
        <v>3</v>
      </c>
      <c r="J181" s="1">
        <v>0</v>
      </c>
      <c r="M181" s="1" t="str">
        <f>SUBSTITUTE(TEXT(B181,"dd/mm/yyyy"),"-","/")</f>
        <v>11/07/1974</v>
      </c>
      <c r="N181" s="3" t="str">
        <f t="shared" si="12"/>
        <v>11/07/1974</v>
      </c>
      <c r="O181" s="3" t="str">
        <f t="shared" si="13"/>
        <v>11/07/1974</v>
      </c>
      <c r="P181" s="1">
        <f>IF(RIGHT(C181,1)="K", LEFT(C181,LEN(C181)-1)*1000,C181)</f>
        <v>61349</v>
      </c>
      <c r="Q181" s="1" t="str">
        <f>IF(LEFT(D181,1)="M","Male","Female")</f>
        <v>Female</v>
      </c>
      <c r="R181" s="1" t="str">
        <f>TRIM(E181)</f>
        <v>Production Technician I</v>
      </c>
      <c r="S181" s="1" t="str">
        <f>IF(G181="", "To be updated", IF(OR(G181="IT&amp;IS", G181="ITIS"), "IT/IS", G181))</f>
        <v xml:space="preserve">Production       </v>
      </c>
      <c r="T181" s="2">
        <f t="shared" si="10"/>
        <v>13</v>
      </c>
      <c r="U181" s="1">
        <f t="shared" si="11"/>
        <v>3</v>
      </c>
      <c r="V181" s="1">
        <f t="shared" ca="1" si="14"/>
        <v>51</v>
      </c>
    </row>
    <row r="182" spans="1:22" x14ac:dyDescent="0.25">
      <c r="A182" s="1">
        <v>10110</v>
      </c>
      <c r="B182" s="3">
        <v>31969</v>
      </c>
      <c r="C182" s="1">
        <v>105688</v>
      </c>
      <c r="D182" s="1" t="s">
        <v>17</v>
      </c>
      <c r="E182" s="1" t="s">
        <v>20</v>
      </c>
      <c r="F182" s="1" t="s">
        <v>12</v>
      </c>
      <c r="G182" s="1" t="s">
        <v>21</v>
      </c>
      <c r="H182" s="1">
        <v>20</v>
      </c>
      <c r="I182" s="1">
        <v>5</v>
      </c>
      <c r="J182" s="1">
        <v>4</v>
      </c>
      <c r="M182" s="1" t="str">
        <f>SUBSTITUTE(TEXT(B182,"dd/mm/yyyy"),"-","/")</f>
        <v>11/07/1987</v>
      </c>
      <c r="N182" s="3" t="str">
        <f t="shared" si="12"/>
        <v>11/07/1987</v>
      </c>
      <c r="O182" s="3" t="str">
        <f t="shared" si="13"/>
        <v>11/07/1987</v>
      </c>
      <c r="P182" s="1">
        <f>IF(RIGHT(C182,1)="K", LEFT(C182,LEN(C182)-1)*1000,C182)</f>
        <v>105688</v>
      </c>
      <c r="Q182" s="1" t="str">
        <f>IF(LEFT(D182,1)="M","Male","Female")</f>
        <v>Female</v>
      </c>
      <c r="R182" s="1" t="str">
        <f>TRIM(E182)</f>
        <v>Software Engineer</v>
      </c>
      <c r="S182" s="1" t="str">
        <f>IF(G182="", "To be updated", IF(OR(G182="IT&amp;IS", G182="ITIS"), "IT/IS", G182))</f>
        <v>Software Engineering</v>
      </c>
      <c r="T182" s="2">
        <f t="shared" si="10"/>
        <v>20</v>
      </c>
      <c r="U182" s="1">
        <f t="shared" si="11"/>
        <v>5</v>
      </c>
      <c r="V182" s="1">
        <f t="shared" ca="1" si="14"/>
        <v>38</v>
      </c>
    </row>
    <row r="183" spans="1:22" x14ac:dyDescent="0.25">
      <c r="A183" s="1">
        <v>10053</v>
      </c>
      <c r="B183" s="1" t="s">
        <v>182</v>
      </c>
      <c r="C183" s="1">
        <v>54132</v>
      </c>
      <c r="D183" s="1" t="s">
        <v>17</v>
      </c>
      <c r="E183" s="1" t="s">
        <v>11</v>
      </c>
      <c r="F183" s="1" t="s">
        <v>12</v>
      </c>
      <c r="G183" s="1" t="s">
        <v>13</v>
      </c>
      <c r="H183" s="1">
        <v>11</v>
      </c>
      <c r="I183" s="1">
        <v>4</v>
      </c>
      <c r="J183" s="1">
        <v>0</v>
      </c>
      <c r="M183" s="1" t="str">
        <f>SUBSTITUTE(TEXT(B183,"dd/mm/yyyy"),"-","/")</f>
        <v>11/22/1977</v>
      </c>
      <c r="N183" s="3">
        <f t="shared" si="12"/>
        <v>28451</v>
      </c>
      <c r="O183" s="3" t="str">
        <f t="shared" si="13"/>
        <v>22/11/1977</v>
      </c>
      <c r="P183" s="1">
        <f>IF(RIGHT(C183,1)="K", LEFT(C183,LEN(C183)-1)*1000,C183)</f>
        <v>54132</v>
      </c>
      <c r="Q183" s="1" t="str">
        <f>IF(LEFT(D183,1)="M","Male","Female")</f>
        <v>Female</v>
      </c>
      <c r="R183" s="1" t="str">
        <f>TRIM(E183)</f>
        <v>Production Technician I</v>
      </c>
      <c r="S183" s="1" t="str">
        <f>IF(G183="", "To be updated", IF(OR(G183="IT&amp;IS", G183="ITIS"), "IT/IS", G183))</f>
        <v xml:space="preserve">Production       </v>
      </c>
      <c r="T183" s="2">
        <f t="shared" si="10"/>
        <v>11</v>
      </c>
      <c r="U183" s="1">
        <f t="shared" si="11"/>
        <v>4</v>
      </c>
      <c r="V183" s="1">
        <f t="shared" ca="1" si="14"/>
        <v>47</v>
      </c>
    </row>
    <row r="184" spans="1:22" x14ac:dyDescent="0.25">
      <c r="A184" s="1">
        <v>10076</v>
      </c>
      <c r="B184" s="1" t="s">
        <v>183</v>
      </c>
      <c r="C184" s="1">
        <v>55315</v>
      </c>
      <c r="D184" s="1" t="s">
        <v>17</v>
      </c>
      <c r="E184" s="1" t="s">
        <v>18</v>
      </c>
      <c r="F184" s="1" t="s">
        <v>12</v>
      </c>
      <c r="G184" s="1" t="s">
        <v>13</v>
      </c>
      <c r="H184" s="1">
        <v>21</v>
      </c>
      <c r="I184" s="1">
        <v>5</v>
      </c>
      <c r="J184" s="1">
        <v>0</v>
      </c>
      <c r="M184" s="1" t="str">
        <f>SUBSTITUTE(TEXT(B184,"dd/mm/yyyy"),"-","/")</f>
        <v>05/21/1987</v>
      </c>
      <c r="N184" s="3">
        <f t="shared" si="12"/>
        <v>31918</v>
      </c>
      <c r="O184" s="3" t="str">
        <f t="shared" si="13"/>
        <v>21/05/1987</v>
      </c>
      <c r="P184" s="1">
        <f>IF(RIGHT(C184,1)="K", LEFT(C184,LEN(C184)-1)*1000,C184)</f>
        <v>55315</v>
      </c>
      <c r="Q184" s="1" t="str">
        <f>IF(LEFT(D184,1)="M","Male","Female")</f>
        <v>Female</v>
      </c>
      <c r="R184" s="1" t="str">
        <f>TRIM(E184)</f>
        <v>Production Technician II</v>
      </c>
      <c r="S184" s="1" t="str">
        <f>IF(G184="", "To be updated", IF(OR(G184="IT&amp;IS", G184="ITIS"), "IT/IS", G184))</f>
        <v xml:space="preserve">Production       </v>
      </c>
      <c r="T184" s="2">
        <f t="shared" si="10"/>
        <v>21</v>
      </c>
      <c r="U184" s="1">
        <f t="shared" si="11"/>
        <v>5</v>
      </c>
      <c r="V184" s="1">
        <f t="shared" ca="1" si="14"/>
        <v>38</v>
      </c>
    </row>
    <row r="185" spans="1:22" x14ac:dyDescent="0.25">
      <c r="A185" s="1">
        <v>10145</v>
      </c>
      <c r="B185" s="3">
        <v>31959</v>
      </c>
      <c r="C185" s="1">
        <v>62810</v>
      </c>
      <c r="D185" s="1" t="s">
        <v>17</v>
      </c>
      <c r="E185" s="1" t="s">
        <v>11</v>
      </c>
      <c r="F185" s="1" t="s">
        <v>12</v>
      </c>
      <c r="G185" s="1" t="s">
        <v>13</v>
      </c>
      <c r="H185" s="1">
        <v>19</v>
      </c>
      <c r="I185" s="1">
        <v>3</v>
      </c>
      <c r="J185" s="1">
        <v>0</v>
      </c>
      <c r="M185" s="1" t="str">
        <f>SUBSTITUTE(TEXT(B185,"dd/mm/yyyy"),"-","/")</f>
        <v>01/07/1987</v>
      </c>
      <c r="N185" s="3" t="str">
        <f t="shared" si="12"/>
        <v>01/07/1987</v>
      </c>
      <c r="O185" s="3" t="str">
        <f t="shared" si="13"/>
        <v>01/07/1987</v>
      </c>
      <c r="P185" s="1">
        <f>IF(RIGHT(C185,1)="K", LEFT(C185,LEN(C185)-1)*1000,C185)</f>
        <v>62810</v>
      </c>
      <c r="Q185" s="1" t="str">
        <f>IF(LEFT(D185,1)="M","Male","Female")</f>
        <v>Female</v>
      </c>
      <c r="R185" s="1" t="str">
        <f>TRIM(E185)</f>
        <v>Production Technician I</v>
      </c>
      <c r="S185" s="1" t="str">
        <f>IF(G185="", "To be updated", IF(OR(G185="IT&amp;IS", G185="ITIS"), "IT/IS", G185))</f>
        <v xml:space="preserve">Production       </v>
      </c>
      <c r="T185" s="2">
        <f t="shared" si="10"/>
        <v>19</v>
      </c>
      <c r="U185" s="1">
        <f t="shared" si="11"/>
        <v>3</v>
      </c>
      <c r="V185" s="1">
        <f t="shared" ca="1" si="14"/>
        <v>38</v>
      </c>
    </row>
    <row r="186" spans="1:22" x14ac:dyDescent="0.25">
      <c r="A186" s="1">
        <v>10202</v>
      </c>
      <c r="B186" s="3">
        <v>30688</v>
      </c>
      <c r="C186" s="1">
        <v>63291</v>
      </c>
      <c r="D186" s="1" t="s">
        <v>22</v>
      </c>
      <c r="E186" s="1" t="s">
        <v>32</v>
      </c>
      <c r="F186" s="1" t="s">
        <v>12</v>
      </c>
      <c r="G186" s="1" t="s">
        <v>33</v>
      </c>
      <c r="H186" s="1">
        <v>19</v>
      </c>
      <c r="I186" s="1">
        <v>4</v>
      </c>
      <c r="J186" s="1">
        <v>0</v>
      </c>
      <c r="M186" s="1" t="str">
        <f>SUBSTITUTE(TEXT(B186,"dd/mm/yyyy"),"-","/")</f>
        <v>07/01/1984</v>
      </c>
      <c r="N186" s="3" t="str">
        <f t="shared" si="12"/>
        <v>07/01/1984</v>
      </c>
      <c r="O186" s="3" t="str">
        <f t="shared" si="13"/>
        <v>07/01/1984</v>
      </c>
      <c r="P186" s="1">
        <f>IF(RIGHT(C186,1)="K", LEFT(C186,LEN(C186)-1)*1000,C186)</f>
        <v>63291</v>
      </c>
      <c r="Q186" s="1" t="str">
        <f>IF(LEFT(D186,1)="M","Male","Female")</f>
        <v>Male</v>
      </c>
      <c r="R186" s="1" t="str">
        <f>TRIM(E186)</f>
        <v>Area Sales Manager</v>
      </c>
      <c r="S186" s="1" t="str">
        <f>IF(G186="", "To be updated", IF(OR(G186="IT&amp;IS", G186="ITIS"), "IT/IS", G186))</f>
        <v>Sales</v>
      </c>
      <c r="T186" s="2">
        <f t="shared" si="10"/>
        <v>19</v>
      </c>
      <c r="U186" s="1">
        <f t="shared" si="11"/>
        <v>4</v>
      </c>
      <c r="V186" s="1">
        <f t="shared" ca="1" si="14"/>
        <v>41</v>
      </c>
    </row>
    <row r="187" spans="1:22" x14ac:dyDescent="0.25">
      <c r="A187" s="1">
        <v>10128</v>
      </c>
      <c r="B187" s="1" t="s">
        <v>184</v>
      </c>
      <c r="C187" s="1">
        <v>62659</v>
      </c>
      <c r="D187" s="1" t="s">
        <v>17</v>
      </c>
      <c r="E187" s="1" t="s">
        <v>11</v>
      </c>
      <c r="F187" s="1" t="s">
        <v>15</v>
      </c>
      <c r="G187" s="1" t="s">
        <v>13</v>
      </c>
      <c r="H187" s="1">
        <v>16</v>
      </c>
      <c r="I187" s="1">
        <v>4</v>
      </c>
      <c r="J187" s="1">
        <v>0</v>
      </c>
      <c r="M187" s="1" t="str">
        <f>SUBSTITUTE(TEXT(B187,"dd/mm/yyyy"),"-","/")</f>
        <v>05/30/1968</v>
      </c>
      <c r="N187" s="3">
        <f t="shared" si="12"/>
        <v>24988</v>
      </c>
      <c r="O187" s="3" t="str">
        <f t="shared" si="13"/>
        <v>30/05/1968</v>
      </c>
      <c r="P187" s="1">
        <f>IF(RIGHT(C187,1)="K", LEFT(C187,LEN(C187)-1)*1000,C187)</f>
        <v>62659</v>
      </c>
      <c r="Q187" s="1" t="str">
        <f>IF(LEFT(D187,1)="M","Male","Female")</f>
        <v>Female</v>
      </c>
      <c r="R187" s="1" t="str">
        <f>TRIM(E187)</f>
        <v>Production Technician I</v>
      </c>
      <c r="S187" s="1" t="str">
        <f>IF(G187="", "To be updated", IF(OR(G187="IT&amp;IS", G187="ITIS"), "IT/IS", G187))</f>
        <v xml:space="preserve">Production       </v>
      </c>
      <c r="T187" s="2">
        <f t="shared" si="10"/>
        <v>16</v>
      </c>
      <c r="U187" s="1">
        <f t="shared" si="11"/>
        <v>4</v>
      </c>
      <c r="V187" s="1">
        <f t="shared" ca="1" si="14"/>
        <v>57</v>
      </c>
    </row>
    <row r="188" spans="1:22" x14ac:dyDescent="0.25">
      <c r="A188" s="1">
        <v>10068</v>
      </c>
      <c r="B188" s="1" t="s">
        <v>157</v>
      </c>
      <c r="C188" s="1">
        <v>55688</v>
      </c>
      <c r="D188" s="1" t="s">
        <v>17</v>
      </c>
      <c r="E188" s="1" t="s">
        <v>11</v>
      </c>
      <c r="F188" s="1" t="s">
        <v>12</v>
      </c>
      <c r="G188" s="1" t="s">
        <v>13</v>
      </c>
      <c r="H188" s="1">
        <v>11</v>
      </c>
      <c r="I188" s="1">
        <v>4</v>
      </c>
      <c r="J188" s="1">
        <v>0</v>
      </c>
      <c r="M188" s="1" t="str">
        <f>SUBSTITUTE(TEXT(B188,"dd/mm/yyyy"),"-","/")</f>
        <v>09/22/1976</v>
      </c>
      <c r="N188" s="3">
        <f t="shared" si="12"/>
        <v>28025</v>
      </c>
      <c r="O188" s="3" t="str">
        <f t="shared" si="13"/>
        <v>22/09/1976</v>
      </c>
      <c r="P188" s="1">
        <f>IF(RIGHT(C188,1)="K", LEFT(C188,LEN(C188)-1)*1000,C188)</f>
        <v>55688</v>
      </c>
      <c r="Q188" s="1" t="str">
        <f>IF(LEFT(D188,1)="M","Male","Female")</f>
        <v>Female</v>
      </c>
      <c r="R188" s="1" t="str">
        <f>TRIM(E188)</f>
        <v>Production Technician I</v>
      </c>
      <c r="S188" s="1" t="str">
        <f>IF(G188="", "To be updated", IF(OR(G188="IT&amp;IS", G188="ITIS"), "IT/IS", G188))</f>
        <v xml:space="preserve">Production       </v>
      </c>
      <c r="T188" s="2">
        <f t="shared" si="10"/>
        <v>11</v>
      </c>
      <c r="U188" s="1">
        <f t="shared" si="11"/>
        <v>4</v>
      </c>
      <c r="V188" s="1">
        <f t="shared" ca="1" si="14"/>
        <v>49</v>
      </c>
    </row>
    <row r="189" spans="1:22" x14ac:dyDescent="0.25">
      <c r="A189" s="1">
        <v>10116</v>
      </c>
      <c r="B189" s="3">
        <v>29867</v>
      </c>
      <c r="C189" s="1">
        <v>83667</v>
      </c>
      <c r="D189" s="1" t="s">
        <v>22</v>
      </c>
      <c r="E189" s="1" t="s">
        <v>30</v>
      </c>
      <c r="F189" s="1" t="s">
        <v>12</v>
      </c>
      <c r="G189" s="1"/>
      <c r="H189" s="1">
        <v>19</v>
      </c>
      <c r="I189" s="1">
        <v>3</v>
      </c>
      <c r="J189" s="1">
        <v>0</v>
      </c>
      <c r="M189" s="1" t="str">
        <f>SUBSTITUTE(TEXT(B189,"dd/mm/yyyy"),"-","/")</f>
        <v>08/10/1981</v>
      </c>
      <c r="N189" s="3" t="str">
        <f t="shared" si="12"/>
        <v>08/10/1981</v>
      </c>
      <c r="O189" s="3" t="str">
        <f t="shared" si="13"/>
        <v>08/10/1981</v>
      </c>
      <c r="P189" s="1">
        <f>IF(RIGHT(C189,1)="K", LEFT(C189,LEN(C189)-1)*1000,C189)</f>
        <v>83667</v>
      </c>
      <c r="Q189" s="1" t="str">
        <f>IF(LEFT(D189,1)="M","Male","Female")</f>
        <v>Male</v>
      </c>
      <c r="R189" s="1" t="str">
        <f>TRIM(E189)</f>
        <v>Production Manager</v>
      </c>
      <c r="S189" s="1" t="str">
        <f>IF(G189="", "To be updated", IF(OR(G189="IT&amp;IS", G189="ITIS"), "IT/IS", G189))</f>
        <v>To be updated</v>
      </c>
      <c r="T189" s="2">
        <f t="shared" si="10"/>
        <v>19</v>
      </c>
      <c r="U189" s="1">
        <f t="shared" si="11"/>
        <v>3</v>
      </c>
      <c r="V189" s="1">
        <f t="shared" ca="1" si="14"/>
        <v>43</v>
      </c>
    </row>
    <row r="190" spans="1:22" x14ac:dyDescent="0.25">
      <c r="A190" s="1">
        <v>10298</v>
      </c>
      <c r="B190" s="1" t="s">
        <v>185</v>
      </c>
      <c r="C190" s="1">
        <v>55800</v>
      </c>
      <c r="D190" s="1" t="s">
        <v>22</v>
      </c>
      <c r="E190" s="1" t="s">
        <v>18</v>
      </c>
      <c r="F190" s="1" t="s">
        <v>15</v>
      </c>
      <c r="G190" s="1"/>
      <c r="H190" s="1">
        <v>14</v>
      </c>
      <c r="I190" s="1">
        <v>2</v>
      </c>
      <c r="J190" s="1">
        <v>0</v>
      </c>
      <c r="M190" s="1" t="str">
        <f>SUBSTITUTE(TEXT(B190,"dd/mm/yyyy"),"-","/")</f>
        <v>06/29/1985</v>
      </c>
      <c r="N190" s="3">
        <f t="shared" si="12"/>
        <v>31227</v>
      </c>
      <c r="O190" s="3" t="str">
        <f t="shared" si="13"/>
        <v>29/06/1985</v>
      </c>
      <c r="P190" s="1">
        <f>IF(RIGHT(C190,1)="K", LEFT(C190,LEN(C190)-1)*1000,C190)</f>
        <v>55800</v>
      </c>
      <c r="Q190" s="1" t="str">
        <f>IF(LEFT(D190,1)="M","Male","Female")</f>
        <v>Male</v>
      </c>
      <c r="R190" s="1" t="str">
        <f>TRIM(E190)</f>
        <v>Production Technician II</v>
      </c>
      <c r="S190" s="1" t="str">
        <f>IF(G190="", "To be updated", IF(OR(G190="IT&amp;IS", G190="ITIS"), "IT/IS", G190))</f>
        <v>To be updated</v>
      </c>
      <c r="T190" s="2">
        <f t="shared" si="10"/>
        <v>14</v>
      </c>
      <c r="U190" s="1">
        <f t="shared" si="11"/>
        <v>2</v>
      </c>
      <c r="V190" s="1">
        <f t="shared" ca="1" si="14"/>
        <v>40</v>
      </c>
    </row>
    <row r="191" spans="1:22" x14ac:dyDescent="0.25">
      <c r="A191" s="1">
        <v>10213</v>
      </c>
      <c r="B191" s="1" t="s">
        <v>186</v>
      </c>
      <c r="C191" s="1">
        <v>58207</v>
      </c>
      <c r="D191" s="1" t="s">
        <v>22</v>
      </c>
      <c r="E191" s="1" t="s">
        <v>18</v>
      </c>
      <c r="F191" s="1" t="s">
        <v>12</v>
      </c>
      <c r="G191" s="1" t="s">
        <v>13</v>
      </c>
      <c r="H191" s="1">
        <v>18</v>
      </c>
      <c r="I191" s="1">
        <v>3</v>
      </c>
      <c r="J191" s="1">
        <v>0</v>
      </c>
      <c r="M191" s="1" t="str">
        <f>SUBSTITUTE(TEXT(B191,"dd/mm/yyyy"),"-","/")</f>
        <v>08/17/1992</v>
      </c>
      <c r="N191" s="3">
        <f t="shared" si="12"/>
        <v>33833</v>
      </c>
      <c r="O191" s="3" t="str">
        <f t="shared" si="13"/>
        <v>17/08/1992</v>
      </c>
      <c r="P191" s="1">
        <f>IF(RIGHT(C191,1)="K", LEFT(C191,LEN(C191)-1)*1000,C191)</f>
        <v>58207</v>
      </c>
      <c r="Q191" s="1" t="str">
        <f>IF(LEFT(D191,1)="M","Male","Female")</f>
        <v>Male</v>
      </c>
      <c r="R191" s="1" t="str">
        <f>TRIM(E191)</f>
        <v>Production Technician II</v>
      </c>
      <c r="S191" s="1" t="str">
        <f>IF(G191="", "To be updated", IF(OR(G191="IT&amp;IS", G191="ITIS"), "IT/IS", G191))</f>
        <v xml:space="preserve">Production       </v>
      </c>
      <c r="T191" s="2">
        <f t="shared" si="10"/>
        <v>18</v>
      </c>
      <c r="U191" s="1">
        <f t="shared" si="11"/>
        <v>3</v>
      </c>
      <c r="V191" s="1">
        <f t="shared" ca="1" si="14"/>
        <v>33</v>
      </c>
    </row>
    <row r="192" spans="1:22" x14ac:dyDescent="0.25">
      <c r="A192" s="1">
        <v>10288</v>
      </c>
      <c r="B192" s="3">
        <v>31542</v>
      </c>
      <c r="C192" s="1">
        <v>157000</v>
      </c>
      <c r="D192" s="1" t="s">
        <v>22</v>
      </c>
      <c r="E192" s="1" t="s">
        <v>49</v>
      </c>
      <c r="F192" s="1" t="s">
        <v>12</v>
      </c>
      <c r="G192" s="1" t="s">
        <v>16</v>
      </c>
      <c r="H192" s="1">
        <v>19</v>
      </c>
      <c r="I192" s="1">
        <v>3</v>
      </c>
      <c r="J192" s="1">
        <v>6</v>
      </c>
      <c r="M192" s="1" t="str">
        <f>SUBSTITUTE(TEXT(B192,"dd/mm/yyyy"),"-","/")</f>
        <v>10/05/1986</v>
      </c>
      <c r="N192" s="3" t="str">
        <f t="shared" si="12"/>
        <v>10/05/1986</v>
      </c>
      <c r="O192" s="3" t="str">
        <f t="shared" si="13"/>
        <v>10/05/1986</v>
      </c>
      <c r="P192" s="1">
        <f>IF(RIGHT(C192,1)="K", LEFT(C192,LEN(C192)-1)*1000,C192)</f>
        <v>157000</v>
      </c>
      <c r="Q192" s="1" t="str">
        <f>IF(LEFT(D192,1)="M","Male","Female")</f>
        <v>Male</v>
      </c>
      <c r="R192" s="1" t="str">
        <f>TRIM(E192)</f>
        <v>IT Manager - Infra</v>
      </c>
      <c r="S192" s="1" t="str">
        <f>IF(G192="", "To be updated", IF(OR(G192="IT&amp;IS", G192="ITIS"), "IT/IS", G192))</f>
        <v>IT/IS</v>
      </c>
      <c r="T192" s="2">
        <f t="shared" si="10"/>
        <v>19</v>
      </c>
      <c r="U192" s="1">
        <f t="shared" si="11"/>
        <v>3</v>
      </c>
      <c r="V192" s="1">
        <f t="shared" ca="1" si="14"/>
        <v>39</v>
      </c>
    </row>
    <row r="193" spans="1:22" x14ac:dyDescent="0.25">
      <c r="A193" s="1">
        <v>10025</v>
      </c>
      <c r="B193" s="1" t="s">
        <v>187</v>
      </c>
      <c r="C193" s="1">
        <v>72460</v>
      </c>
      <c r="D193" s="1" t="s">
        <v>19</v>
      </c>
      <c r="E193" s="1" t="s">
        <v>18</v>
      </c>
      <c r="F193" s="1" t="s">
        <v>12</v>
      </c>
      <c r="G193" s="1" t="s">
        <v>13</v>
      </c>
      <c r="H193" s="1">
        <v>13</v>
      </c>
      <c r="I193" s="1">
        <v>3</v>
      </c>
      <c r="J193" s="1">
        <v>0</v>
      </c>
      <c r="M193" s="1" t="str">
        <f>SUBSTITUTE(TEXT(B193,"dd/mm/yyyy"),"-","/")</f>
        <v>04/24/1970</v>
      </c>
      <c r="N193" s="3">
        <f t="shared" si="12"/>
        <v>25682</v>
      </c>
      <c r="O193" s="3" t="str">
        <f t="shared" si="13"/>
        <v>24/04/1970</v>
      </c>
      <c r="P193" s="1">
        <f>IF(RIGHT(C193,1)="K", LEFT(C193,LEN(C193)-1)*1000,C193)</f>
        <v>72460</v>
      </c>
      <c r="Q193" s="1" t="str">
        <f>IF(LEFT(D193,1)="M","Male","Female")</f>
        <v>Female</v>
      </c>
      <c r="R193" s="1" t="str">
        <f>TRIM(E193)</f>
        <v>Production Technician II</v>
      </c>
      <c r="S193" s="1" t="str">
        <f>IF(G193="", "To be updated", IF(OR(G193="IT&amp;IS", G193="ITIS"), "IT/IS", G193))</f>
        <v xml:space="preserve">Production       </v>
      </c>
      <c r="T193" s="2">
        <f t="shared" si="10"/>
        <v>13</v>
      </c>
      <c r="U193" s="1">
        <f t="shared" si="11"/>
        <v>3</v>
      </c>
      <c r="V193" s="1">
        <f t="shared" ca="1" si="14"/>
        <v>55</v>
      </c>
    </row>
    <row r="194" spans="1:22" x14ac:dyDescent="0.25">
      <c r="A194" s="1">
        <v>10223</v>
      </c>
      <c r="B194" s="3">
        <v>27831</v>
      </c>
      <c r="C194" s="1">
        <v>72106</v>
      </c>
      <c r="D194" s="1" t="s">
        <v>22</v>
      </c>
      <c r="E194" s="1" t="s">
        <v>18</v>
      </c>
      <c r="F194" s="1" t="s">
        <v>12</v>
      </c>
      <c r="G194" s="1" t="s">
        <v>13</v>
      </c>
      <c r="H194" s="1">
        <v>14</v>
      </c>
      <c r="I194" s="1">
        <v>4</v>
      </c>
      <c r="J194" s="1">
        <v>0</v>
      </c>
      <c r="M194" s="1" t="str">
        <f>SUBSTITUTE(TEXT(B194,"dd/mm/yyyy"),"-","/")</f>
        <v>12/03/1976</v>
      </c>
      <c r="N194" s="3" t="str">
        <f t="shared" si="12"/>
        <v>12/03/1976</v>
      </c>
      <c r="O194" s="3" t="str">
        <f t="shared" si="13"/>
        <v>12/03/1976</v>
      </c>
      <c r="P194" s="1">
        <f>IF(RIGHT(C194,1)="K", LEFT(C194,LEN(C194)-1)*1000,C194)</f>
        <v>72106</v>
      </c>
      <c r="Q194" s="1" t="str">
        <f>IF(LEFT(D194,1)="M","Male","Female")</f>
        <v>Male</v>
      </c>
      <c r="R194" s="1" t="str">
        <f>TRIM(E194)</f>
        <v>Production Technician II</v>
      </c>
      <c r="S194" s="1" t="str">
        <f>IF(G194="", "To be updated", IF(OR(G194="IT&amp;IS", G194="ITIS"), "IT/IS", G194))</f>
        <v xml:space="preserve">Production       </v>
      </c>
      <c r="T194" s="2">
        <f t="shared" ref="T194:T257" si="15">IF(ISBLANK(H194),AVERAGE($H$2:$H$312),H194)</f>
        <v>14</v>
      </c>
      <c r="U194" s="1">
        <f t="shared" ref="U194:U257" si="16">IF(I194="High",MAX($I$2:$I$312),IF(I194="Low",MIN($I$2:$I$312),I194))</f>
        <v>4</v>
      </c>
      <c r="V194" s="1">
        <f t="shared" ca="1" si="14"/>
        <v>49</v>
      </c>
    </row>
    <row r="195" spans="1:22" x14ac:dyDescent="0.25">
      <c r="A195" s="1">
        <v>10151</v>
      </c>
      <c r="B195" s="3">
        <v>28949</v>
      </c>
      <c r="C195" s="1">
        <v>52599</v>
      </c>
      <c r="D195" s="1" t="s">
        <v>17</v>
      </c>
      <c r="E195" s="1" t="s">
        <v>41</v>
      </c>
      <c r="F195" s="1" t="s">
        <v>12</v>
      </c>
      <c r="G195" s="1" t="s">
        <v>16</v>
      </c>
      <c r="H195" s="1">
        <v>11</v>
      </c>
      <c r="I195" s="1">
        <v>3</v>
      </c>
      <c r="J195" s="1">
        <v>6</v>
      </c>
      <c r="M195" s="1" t="str">
        <f>SUBSTITUTE(TEXT(B195,"dd/mm/yyyy"),"-","/")</f>
        <v>04/04/1979</v>
      </c>
      <c r="N195" s="3" t="str">
        <f t="shared" ref="N195:N258" si="17">IF(VALUE(MID(M195,4,2))&gt;12,DATE(RIGHT(M195,4),LEFT(M195,2),MID(M195,4,2)),M195)</f>
        <v>04/04/1979</v>
      </c>
      <c r="O195" s="3" t="str">
        <f t="shared" ref="O195:O258" si="18">SUBSTITUTE(TEXT(N195,"dd/mm/yyyy"),"-","/")</f>
        <v>04/04/1979</v>
      </c>
      <c r="P195" s="1">
        <f>IF(RIGHT(C195,1)="K", LEFT(C195,LEN(C195)-1)*1000,C195)</f>
        <v>52599</v>
      </c>
      <c r="Q195" s="1" t="str">
        <f>IF(LEFT(D195,1)="M","Male","Female")</f>
        <v>Female</v>
      </c>
      <c r="R195" s="1" t="str">
        <f>TRIM(E195)</f>
        <v>Network Engineer</v>
      </c>
      <c r="S195" s="1" t="str">
        <f>IF(G195="", "To be updated", IF(OR(G195="IT&amp;IS", G195="ITIS"), "IT/IS", G195))</f>
        <v>IT/IS</v>
      </c>
      <c r="T195" s="2">
        <f t="shared" si="15"/>
        <v>11</v>
      </c>
      <c r="U195" s="1">
        <f t="shared" si="16"/>
        <v>3</v>
      </c>
      <c r="V195" s="1">
        <f t="shared" ref="V195:V258" ca="1" si="19">DATEDIF(O195,TODAY(),"Y")</f>
        <v>46</v>
      </c>
    </row>
    <row r="196" spans="1:22" x14ac:dyDescent="0.25">
      <c r="A196" s="1">
        <v>10254</v>
      </c>
      <c r="B196" s="3">
        <v>30870</v>
      </c>
      <c r="C196" s="1">
        <v>63430</v>
      </c>
      <c r="D196" s="1" t="s">
        <v>17</v>
      </c>
      <c r="E196" s="1" t="s">
        <v>11</v>
      </c>
      <c r="F196" s="1" t="s">
        <v>12</v>
      </c>
      <c r="G196" s="1" t="s">
        <v>13</v>
      </c>
      <c r="H196" s="1">
        <v>14</v>
      </c>
      <c r="I196" s="1">
        <v>4</v>
      </c>
      <c r="J196" s="1">
        <v>0</v>
      </c>
      <c r="M196" s="1" t="str">
        <f>SUBSTITUTE(TEXT(B196,"dd/mm/yyyy"),"-","/")</f>
        <v>07/07/1984</v>
      </c>
      <c r="N196" s="3" t="str">
        <f t="shared" si="17"/>
        <v>07/07/1984</v>
      </c>
      <c r="O196" s="3" t="str">
        <f t="shared" si="18"/>
        <v>07/07/1984</v>
      </c>
      <c r="P196" s="1">
        <f>IF(RIGHT(C196,1)="K", LEFT(C196,LEN(C196)-1)*1000,C196)</f>
        <v>63430</v>
      </c>
      <c r="Q196" s="1" t="str">
        <f>IF(LEFT(D196,1)="M","Male","Female")</f>
        <v>Female</v>
      </c>
      <c r="R196" s="1" t="str">
        <f>TRIM(E196)</f>
        <v>Production Technician I</v>
      </c>
      <c r="S196" s="1" t="str">
        <f>IF(G196="", "To be updated", IF(OR(G196="IT&amp;IS", G196="ITIS"), "IT/IS", G196))</f>
        <v xml:space="preserve">Production       </v>
      </c>
      <c r="T196" s="2">
        <f t="shared" si="15"/>
        <v>14</v>
      </c>
      <c r="U196" s="1">
        <f t="shared" si="16"/>
        <v>4</v>
      </c>
      <c r="V196" s="1">
        <f t="shared" ca="1" si="19"/>
        <v>41</v>
      </c>
    </row>
    <row r="197" spans="1:22" x14ac:dyDescent="0.25">
      <c r="A197" s="1">
        <v>10120</v>
      </c>
      <c r="B197" s="3">
        <v>27041</v>
      </c>
      <c r="C197" s="1">
        <v>74417</v>
      </c>
      <c r="D197" s="1" t="s">
        <v>22</v>
      </c>
      <c r="E197" s="1" t="s">
        <v>18</v>
      </c>
      <c r="F197" s="1" t="s">
        <v>12</v>
      </c>
      <c r="G197" s="1" t="s">
        <v>13</v>
      </c>
      <c r="H197" s="1">
        <v>20</v>
      </c>
      <c r="I197" s="1" t="s">
        <v>66</v>
      </c>
      <c r="J197" s="1">
        <v>0</v>
      </c>
      <c r="M197" s="1" t="str">
        <f>SUBSTITUTE(TEXT(B197,"dd/mm/yyyy"),"-","/")</f>
        <v>12/01/1974</v>
      </c>
      <c r="N197" s="3" t="str">
        <f t="shared" si="17"/>
        <v>12/01/1974</v>
      </c>
      <c r="O197" s="3" t="str">
        <f t="shared" si="18"/>
        <v>12/01/1974</v>
      </c>
      <c r="P197" s="1">
        <f>IF(RIGHT(C197,1)="K", LEFT(C197,LEN(C197)-1)*1000,C197)</f>
        <v>74417</v>
      </c>
      <c r="Q197" s="1" t="str">
        <f>IF(LEFT(D197,1)="M","Male","Female")</f>
        <v>Male</v>
      </c>
      <c r="R197" s="1" t="str">
        <f>TRIM(E197)</f>
        <v>Production Technician II</v>
      </c>
      <c r="S197" s="1" t="str">
        <f>IF(G197="", "To be updated", IF(OR(G197="IT&amp;IS", G197="ITIS"), "IT/IS", G197))</f>
        <v xml:space="preserve">Production       </v>
      </c>
      <c r="T197" s="2">
        <f t="shared" si="15"/>
        <v>20</v>
      </c>
      <c r="U197" s="1">
        <f t="shared" si="16"/>
        <v>5</v>
      </c>
      <c r="V197" s="1">
        <f t="shared" ca="1" si="19"/>
        <v>51</v>
      </c>
    </row>
    <row r="198" spans="1:22" x14ac:dyDescent="0.25">
      <c r="A198" s="1">
        <v>10216</v>
      </c>
      <c r="B198" s="1" t="s">
        <v>188</v>
      </c>
      <c r="C198" s="1">
        <v>57575</v>
      </c>
      <c r="D198" s="1" t="s">
        <v>22</v>
      </c>
      <c r="E198" s="1" t="s">
        <v>11</v>
      </c>
      <c r="F198" s="1" t="s">
        <v>12</v>
      </c>
      <c r="G198" s="1" t="s">
        <v>13</v>
      </c>
      <c r="H198" s="1">
        <v>11</v>
      </c>
      <c r="I198" s="1">
        <v>4</v>
      </c>
      <c r="J198" s="1">
        <v>0</v>
      </c>
      <c r="M198" s="1" t="str">
        <f>SUBSTITUTE(TEXT(B198,"dd/mm/yyyy"),"-","/")</f>
        <v>04/18/1980</v>
      </c>
      <c r="N198" s="3">
        <f t="shared" si="17"/>
        <v>29329</v>
      </c>
      <c r="O198" s="3" t="str">
        <f t="shared" si="18"/>
        <v>18/04/1980</v>
      </c>
      <c r="P198" s="1">
        <f>IF(RIGHT(C198,1)="K", LEFT(C198,LEN(C198)-1)*1000,C198)</f>
        <v>57575</v>
      </c>
      <c r="Q198" s="1" t="str">
        <f>IF(LEFT(D198,1)="M","Male","Female")</f>
        <v>Male</v>
      </c>
      <c r="R198" s="1" t="str">
        <f>TRIM(E198)</f>
        <v>Production Technician I</v>
      </c>
      <c r="S198" s="1" t="str">
        <f>IF(G198="", "To be updated", IF(OR(G198="IT&amp;IS", G198="ITIS"), "IT/IS", G198))</f>
        <v xml:space="preserve">Production       </v>
      </c>
      <c r="T198" s="2">
        <f t="shared" si="15"/>
        <v>11</v>
      </c>
      <c r="U198" s="1">
        <f t="shared" si="16"/>
        <v>4</v>
      </c>
      <c r="V198" s="1">
        <f t="shared" ca="1" si="19"/>
        <v>45</v>
      </c>
    </row>
    <row r="199" spans="1:22" x14ac:dyDescent="0.25">
      <c r="A199" s="1">
        <v>10079</v>
      </c>
      <c r="B199" s="1" t="s">
        <v>189</v>
      </c>
      <c r="C199" s="1">
        <v>87921</v>
      </c>
      <c r="D199" s="1" t="s">
        <v>22</v>
      </c>
      <c r="E199" s="1" t="s">
        <v>47</v>
      </c>
      <c r="F199" s="1" t="s">
        <v>12</v>
      </c>
      <c r="G199" s="1" t="s">
        <v>16</v>
      </c>
      <c r="H199" s="1">
        <v>13</v>
      </c>
      <c r="I199" s="1">
        <v>3</v>
      </c>
      <c r="J199" s="1">
        <v>6</v>
      </c>
      <c r="M199" s="1" t="str">
        <f>SUBSTITUTE(TEXT(B199,"dd/mm/yyyy"),"-","/")</f>
        <v>04/25/1970</v>
      </c>
      <c r="N199" s="3">
        <f t="shared" si="17"/>
        <v>25683</v>
      </c>
      <c r="O199" s="3" t="str">
        <f t="shared" si="18"/>
        <v>25/04/1970</v>
      </c>
      <c r="P199" s="1">
        <f>IF(RIGHT(C199,1)="K", LEFT(C199,LEN(C199)-1)*1000,C199)</f>
        <v>87921</v>
      </c>
      <c r="Q199" s="1" t="str">
        <f>IF(LEFT(D199,1)="M","Male","Female")</f>
        <v>Male</v>
      </c>
      <c r="R199" s="1" t="str">
        <f>TRIM(E199)</f>
        <v>Senior BI Developer</v>
      </c>
      <c r="S199" s="1" t="str">
        <f>IF(G199="", "To be updated", IF(OR(G199="IT&amp;IS", G199="ITIS"), "IT/IS", G199))</f>
        <v>IT/IS</v>
      </c>
      <c r="T199" s="2">
        <f t="shared" si="15"/>
        <v>13</v>
      </c>
      <c r="U199" s="1">
        <f t="shared" si="16"/>
        <v>3</v>
      </c>
      <c r="V199" s="1">
        <f t="shared" ca="1" si="19"/>
        <v>55</v>
      </c>
    </row>
    <row r="200" spans="1:22" x14ac:dyDescent="0.25">
      <c r="A200" s="1">
        <v>10215</v>
      </c>
      <c r="B200" s="3">
        <v>32544</v>
      </c>
      <c r="C200" s="1">
        <v>50470</v>
      </c>
      <c r="D200" s="1" t="s">
        <v>22</v>
      </c>
      <c r="E200" s="1" t="s">
        <v>11</v>
      </c>
      <c r="F200" s="1" t="s">
        <v>15</v>
      </c>
      <c r="G200" s="1" t="s">
        <v>13</v>
      </c>
      <c r="H200" s="1">
        <v>14</v>
      </c>
      <c r="I200" s="1">
        <v>3</v>
      </c>
      <c r="J200" s="1">
        <v>0</v>
      </c>
      <c r="M200" s="1" t="str">
        <f>SUBSTITUTE(TEXT(B200,"dd/mm/yyyy"),"-","/")</f>
        <v>05/02/1989</v>
      </c>
      <c r="N200" s="3" t="str">
        <f t="shared" si="17"/>
        <v>05/02/1989</v>
      </c>
      <c r="O200" s="3" t="str">
        <f t="shared" si="18"/>
        <v>05/02/1989</v>
      </c>
      <c r="P200" s="1">
        <f>IF(RIGHT(C200,1)="K", LEFT(C200,LEN(C200)-1)*1000,C200)</f>
        <v>50470</v>
      </c>
      <c r="Q200" s="1" t="str">
        <f>IF(LEFT(D200,1)="M","Male","Female")</f>
        <v>Male</v>
      </c>
      <c r="R200" s="1" t="str">
        <f>TRIM(E200)</f>
        <v>Production Technician I</v>
      </c>
      <c r="S200" s="1" t="str">
        <f>IF(G200="", "To be updated", IF(OR(G200="IT&amp;IS", G200="ITIS"), "IT/IS", G200))</f>
        <v xml:space="preserve">Production       </v>
      </c>
      <c r="T200" s="2">
        <f t="shared" si="15"/>
        <v>14</v>
      </c>
      <c r="U200" s="1">
        <f t="shared" si="16"/>
        <v>3</v>
      </c>
      <c r="V200" s="1">
        <f t="shared" ca="1" si="19"/>
        <v>36</v>
      </c>
    </row>
    <row r="201" spans="1:22" x14ac:dyDescent="0.25">
      <c r="A201" s="1">
        <v>10185</v>
      </c>
      <c r="B201" s="1" t="s">
        <v>190</v>
      </c>
      <c r="C201" s="1">
        <v>46664</v>
      </c>
      <c r="D201" s="1" t="s">
        <v>22</v>
      </c>
      <c r="E201" s="1" t="s">
        <v>11</v>
      </c>
      <c r="F201" s="1" t="s">
        <v>15</v>
      </c>
      <c r="G201" s="1" t="s">
        <v>13</v>
      </c>
      <c r="H201" s="1">
        <v>11</v>
      </c>
      <c r="I201" s="1">
        <v>3</v>
      </c>
      <c r="J201" s="1">
        <v>0</v>
      </c>
      <c r="M201" s="1" t="str">
        <f>SUBSTITUTE(TEXT(B201,"dd/mm/yyyy"),"-","/")</f>
        <v>03/28/1983</v>
      </c>
      <c r="N201" s="3">
        <f t="shared" si="17"/>
        <v>30403</v>
      </c>
      <c r="O201" s="3" t="str">
        <f t="shared" si="18"/>
        <v>28/03/1983</v>
      </c>
      <c r="P201" s="1">
        <f>IF(RIGHT(C201,1)="K", LEFT(C201,LEN(C201)-1)*1000,C201)</f>
        <v>46664</v>
      </c>
      <c r="Q201" s="1" t="str">
        <f>IF(LEFT(D201,1)="M","Male","Female")</f>
        <v>Male</v>
      </c>
      <c r="R201" s="1" t="str">
        <f>TRIM(E201)</f>
        <v>Production Technician I</v>
      </c>
      <c r="S201" s="1" t="str">
        <f>IF(G201="", "To be updated", IF(OR(G201="IT&amp;IS", G201="ITIS"), "IT/IS", G201))</f>
        <v xml:space="preserve">Production       </v>
      </c>
      <c r="T201" s="2">
        <f t="shared" si="15"/>
        <v>11</v>
      </c>
      <c r="U201" s="1">
        <f t="shared" si="16"/>
        <v>3</v>
      </c>
      <c r="V201" s="1">
        <f t="shared" ca="1" si="19"/>
        <v>42</v>
      </c>
    </row>
    <row r="202" spans="1:22" x14ac:dyDescent="0.25">
      <c r="A202" s="1">
        <v>10063</v>
      </c>
      <c r="B202" s="3">
        <v>28341</v>
      </c>
      <c r="C202" s="1">
        <v>48495</v>
      </c>
      <c r="D202" s="1" t="s">
        <v>22</v>
      </c>
      <c r="E202" s="1" t="s">
        <v>11</v>
      </c>
      <c r="F202" s="1" t="s">
        <v>12</v>
      </c>
      <c r="G202" s="1" t="s">
        <v>13</v>
      </c>
      <c r="H202" s="1">
        <v>17</v>
      </c>
      <c r="I202" s="1">
        <v>5</v>
      </c>
      <c r="J202" s="1">
        <v>0</v>
      </c>
      <c r="M202" s="1" t="str">
        <f>SUBSTITUTE(TEXT(B202,"dd/mm/yyyy"),"-","/")</f>
        <v>04/08/1977</v>
      </c>
      <c r="N202" s="3" t="str">
        <f t="shared" si="17"/>
        <v>04/08/1977</v>
      </c>
      <c r="O202" s="3" t="str">
        <f t="shared" si="18"/>
        <v>04/08/1977</v>
      </c>
      <c r="P202" s="1">
        <f>IF(RIGHT(C202,1)="K", LEFT(C202,LEN(C202)-1)*1000,C202)</f>
        <v>48495</v>
      </c>
      <c r="Q202" s="1" t="str">
        <f>IF(LEFT(D202,1)="M","Male","Female")</f>
        <v>Male</v>
      </c>
      <c r="R202" s="1" t="str">
        <f>TRIM(E202)</f>
        <v>Production Technician I</v>
      </c>
      <c r="S202" s="1" t="str">
        <f>IF(G202="", "To be updated", IF(OR(G202="IT&amp;IS", G202="ITIS"), "IT/IS", G202))</f>
        <v xml:space="preserve">Production       </v>
      </c>
      <c r="T202" s="2">
        <f t="shared" si="15"/>
        <v>17</v>
      </c>
      <c r="U202" s="1">
        <f t="shared" si="16"/>
        <v>5</v>
      </c>
      <c r="V202" s="1">
        <f t="shared" ca="1" si="19"/>
        <v>48</v>
      </c>
    </row>
    <row r="203" spans="1:22" x14ac:dyDescent="0.25">
      <c r="A203" s="1">
        <v>10037</v>
      </c>
      <c r="B203" s="3">
        <v>24537</v>
      </c>
      <c r="C203" s="1">
        <v>52984</v>
      </c>
      <c r="D203" s="1" t="s">
        <v>17</v>
      </c>
      <c r="E203" s="1" t="s">
        <v>11</v>
      </c>
      <c r="F203" s="1" t="s">
        <v>12</v>
      </c>
      <c r="G203" s="1" t="s">
        <v>13</v>
      </c>
      <c r="H203" s="1">
        <v>13</v>
      </c>
      <c r="I203" s="1">
        <v>3</v>
      </c>
      <c r="J203" s="1">
        <v>0</v>
      </c>
      <c r="M203" s="1" t="str">
        <f>SUBSTITUTE(TEXT(B203,"dd/mm/yyyy"),"-","/")</f>
        <v>06/03/1967</v>
      </c>
      <c r="N203" s="3" t="str">
        <f t="shared" si="17"/>
        <v>06/03/1967</v>
      </c>
      <c r="O203" s="3" t="str">
        <f t="shared" si="18"/>
        <v>06/03/1967</v>
      </c>
      <c r="P203" s="1">
        <f>IF(RIGHT(C203,1)="K", LEFT(C203,LEN(C203)-1)*1000,C203)</f>
        <v>52984</v>
      </c>
      <c r="Q203" s="1" t="str">
        <f>IF(LEFT(D203,1)="M","Male","Female")</f>
        <v>Female</v>
      </c>
      <c r="R203" s="1" t="str">
        <f>TRIM(E203)</f>
        <v>Production Technician I</v>
      </c>
      <c r="S203" s="1" t="str">
        <f>IF(G203="", "To be updated", IF(OR(G203="IT&amp;IS", G203="ITIS"), "IT/IS", G203))</f>
        <v xml:space="preserve">Production       </v>
      </c>
      <c r="T203" s="2">
        <f t="shared" si="15"/>
        <v>13</v>
      </c>
      <c r="U203" s="1">
        <f t="shared" si="16"/>
        <v>3</v>
      </c>
      <c r="V203" s="1">
        <f t="shared" ca="1" si="19"/>
        <v>58</v>
      </c>
    </row>
    <row r="204" spans="1:22" x14ac:dyDescent="0.25">
      <c r="A204" s="1">
        <v>10042</v>
      </c>
      <c r="B204" s="1" t="s">
        <v>191</v>
      </c>
      <c r="C204" s="1">
        <v>63695</v>
      </c>
      <c r="D204" s="1" t="s">
        <v>17</v>
      </c>
      <c r="E204" s="1" t="s">
        <v>32</v>
      </c>
      <c r="F204" s="1" t="s">
        <v>12</v>
      </c>
      <c r="G204" s="1" t="s">
        <v>33</v>
      </c>
      <c r="H204" s="1">
        <v>11</v>
      </c>
      <c r="I204" s="1">
        <v>5</v>
      </c>
      <c r="J204" s="1">
        <v>0</v>
      </c>
      <c r="M204" s="1" t="str">
        <f>SUBSTITUTE(TEXT(B204,"dd/mm/yyyy"),"-","/")</f>
        <v>03/31/1989</v>
      </c>
      <c r="N204" s="3">
        <f t="shared" si="17"/>
        <v>32598</v>
      </c>
      <c r="O204" s="3" t="str">
        <f t="shared" si="18"/>
        <v>31/03/1989</v>
      </c>
      <c r="P204" s="1">
        <f>IF(RIGHT(C204,1)="K", LEFT(C204,LEN(C204)-1)*1000,C204)</f>
        <v>63695</v>
      </c>
      <c r="Q204" s="1" t="str">
        <f>IF(LEFT(D204,1)="M","Male","Female")</f>
        <v>Female</v>
      </c>
      <c r="R204" s="1" t="str">
        <f>TRIM(E204)</f>
        <v>Area Sales Manager</v>
      </c>
      <c r="S204" s="1" t="str">
        <f>IF(G204="", "To be updated", IF(OR(G204="IT&amp;IS", G204="ITIS"), "IT/IS", G204))</f>
        <v>Sales</v>
      </c>
      <c r="T204" s="2">
        <f t="shared" si="15"/>
        <v>11</v>
      </c>
      <c r="U204" s="1">
        <f t="shared" si="16"/>
        <v>5</v>
      </c>
      <c r="V204" s="1">
        <f t="shared" ca="1" si="19"/>
        <v>36</v>
      </c>
    </row>
    <row r="205" spans="1:22" x14ac:dyDescent="0.25">
      <c r="A205" s="1">
        <v>10206</v>
      </c>
      <c r="B205" s="3">
        <v>30870</v>
      </c>
      <c r="C205" s="1">
        <v>62061</v>
      </c>
      <c r="D205" s="1" t="s">
        <v>17</v>
      </c>
      <c r="E205" s="1" t="s">
        <v>11</v>
      </c>
      <c r="F205" s="1" t="s">
        <v>12</v>
      </c>
      <c r="G205" s="1" t="s">
        <v>13</v>
      </c>
      <c r="H205" s="1">
        <v>14</v>
      </c>
      <c r="I205" s="1">
        <v>5</v>
      </c>
      <c r="J205" s="1">
        <v>0</v>
      </c>
      <c r="M205" s="1" t="str">
        <f>SUBSTITUTE(TEXT(B205,"dd/mm/yyyy"),"-","/")</f>
        <v>07/07/1984</v>
      </c>
      <c r="N205" s="3" t="str">
        <f t="shared" si="17"/>
        <v>07/07/1984</v>
      </c>
      <c r="O205" s="3" t="str">
        <f t="shared" si="18"/>
        <v>07/07/1984</v>
      </c>
      <c r="P205" s="1">
        <f>IF(RIGHT(C205,1)="K", LEFT(C205,LEN(C205)-1)*1000,C205)</f>
        <v>62061</v>
      </c>
      <c r="Q205" s="1" t="str">
        <f>IF(LEFT(D205,1)="M","Male","Female")</f>
        <v>Female</v>
      </c>
      <c r="R205" s="1" t="str">
        <f>TRIM(E205)</f>
        <v>Production Technician I</v>
      </c>
      <c r="S205" s="1" t="str">
        <f>IF(G205="", "To be updated", IF(OR(G205="IT&amp;IS", G205="ITIS"), "IT/IS", G205))</f>
        <v xml:space="preserve">Production       </v>
      </c>
      <c r="T205" s="2">
        <f t="shared" si="15"/>
        <v>14</v>
      </c>
      <c r="U205" s="1">
        <f t="shared" si="16"/>
        <v>5</v>
      </c>
      <c r="V205" s="1">
        <f t="shared" ca="1" si="19"/>
        <v>41</v>
      </c>
    </row>
    <row r="206" spans="1:22" x14ac:dyDescent="0.25">
      <c r="A206" s="1">
        <v>10104</v>
      </c>
      <c r="B206" s="1" t="s">
        <v>192</v>
      </c>
      <c r="C206" s="1">
        <v>66738</v>
      </c>
      <c r="D206" s="1" t="s">
        <v>17</v>
      </c>
      <c r="E206" s="1" t="s">
        <v>18</v>
      </c>
      <c r="F206" s="1" t="s">
        <v>12</v>
      </c>
      <c r="G206" s="1" t="s">
        <v>13</v>
      </c>
      <c r="H206" s="1">
        <v>21</v>
      </c>
      <c r="I206" s="1">
        <v>5</v>
      </c>
      <c r="J206" s="1">
        <v>0</v>
      </c>
      <c r="M206" s="1" t="str">
        <f>SUBSTITUTE(TEXT(B206,"dd/mm/yyyy"),"-","/")</f>
        <v>11/23/1985</v>
      </c>
      <c r="N206" s="3">
        <f t="shared" si="17"/>
        <v>31374</v>
      </c>
      <c r="O206" s="3" t="str">
        <f t="shared" si="18"/>
        <v>23/11/1985</v>
      </c>
      <c r="P206" s="1">
        <f>IF(RIGHT(C206,1)="K", LEFT(C206,LEN(C206)-1)*1000,C206)</f>
        <v>66738</v>
      </c>
      <c r="Q206" s="1" t="str">
        <f>IF(LEFT(D206,1)="M","Male","Female")</f>
        <v>Female</v>
      </c>
      <c r="R206" s="1" t="str">
        <f>TRIM(E206)</f>
        <v>Production Technician II</v>
      </c>
      <c r="S206" s="1" t="str">
        <f>IF(G206="", "To be updated", IF(OR(G206="IT&amp;IS", G206="ITIS"), "IT/IS", G206))</f>
        <v xml:space="preserve">Production       </v>
      </c>
      <c r="T206" s="2">
        <f t="shared" si="15"/>
        <v>21</v>
      </c>
      <c r="U206" s="1">
        <f t="shared" si="16"/>
        <v>5</v>
      </c>
      <c r="V206" s="1">
        <f t="shared" ca="1" si="19"/>
        <v>39</v>
      </c>
    </row>
    <row r="207" spans="1:22" x14ac:dyDescent="0.25">
      <c r="A207" s="1">
        <v>10303</v>
      </c>
      <c r="B207" s="1" t="s">
        <v>193</v>
      </c>
      <c r="C207" s="1">
        <v>52674</v>
      </c>
      <c r="D207" s="1" t="s">
        <v>17</v>
      </c>
      <c r="E207" s="1" t="s">
        <v>11</v>
      </c>
      <c r="F207" s="1" t="s">
        <v>25</v>
      </c>
      <c r="G207" s="1" t="s">
        <v>13</v>
      </c>
      <c r="H207" s="1">
        <v>19</v>
      </c>
      <c r="I207" s="1">
        <v>2</v>
      </c>
      <c r="J207" s="1">
        <v>0</v>
      </c>
      <c r="M207" s="1" t="str">
        <f>SUBSTITUTE(TEXT(B207,"dd/mm/yyyy"),"-","/")</f>
        <v>09/30/1980</v>
      </c>
      <c r="N207" s="3">
        <f t="shared" si="17"/>
        <v>29494</v>
      </c>
      <c r="O207" s="3" t="str">
        <f t="shared" si="18"/>
        <v>30/09/1980</v>
      </c>
      <c r="P207" s="1">
        <f>IF(RIGHT(C207,1)="K", LEFT(C207,LEN(C207)-1)*1000,C207)</f>
        <v>52674</v>
      </c>
      <c r="Q207" s="1" t="str">
        <f>IF(LEFT(D207,1)="M","Male","Female")</f>
        <v>Female</v>
      </c>
      <c r="R207" s="1" t="str">
        <f>TRIM(E207)</f>
        <v>Production Technician I</v>
      </c>
      <c r="S207" s="1" t="str">
        <f>IF(G207="", "To be updated", IF(OR(G207="IT&amp;IS", G207="ITIS"), "IT/IS", G207))</f>
        <v xml:space="preserve">Production       </v>
      </c>
      <c r="T207" s="2">
        <f t="shared" si="15"/>
        <v>19</v>
      </c>
      <c r="U207" s="1">
        <f t="shared" si="16"/>
        <v>2</v>
      </c>
      <c r="V207" s="1">
        <f t="shared" ca="1" si="19"/>
        <v>44</v>
      </c>
    </row>
    <row r="208" spans="1:22" x14ac:dyDescent="0.25">
      <c r="A208" s="1">
        <v>10078</v>
      </c>
      <c r="B208" s="3">
        <v>19300</v>
      </c>
      <c r="C208" s="1">
        <v>71966</v>
      </c>
      <c r="D208" s="1" t="s">
        <v>17</v>
      </c>
      <c r="E208" s="1" t="s">
        <v>18</v>
      </c>
      <c r="F208" s="1" t="s">
        <v>15</v>
      </c>
      <c r="G208" s="1" t="s">
        <v>13</v>
      </c>
      <c r="H208" s="1">
        <v>14</v>
      </c>
      <c r="I208" s="1">
        <v>3</v>
      </c>
      <c r="J208" s="1">
        <v>0</v>
      </c>
      <c r="M208" s="1" t="str">
        <f>SUBSTITUTE(TEXT(B208,"dd/mm/yyyy"),"-","/")</f>
        <v>02/11/1952</v>
      </c>
      <c r="N208" s="3" t="str">
        <f t="shared" si="17"/>
        <v>02/11/1952</v>
      </c>
      <c r="O208" s="3" t="str">
        <f t="shared" si="18"/>
        <v>02/11/1952</v>
      </c>
      <c r="P208" s="1">
        <f>IF(RIGHT(C208,1)="K", LEFT(C208,LEN(C208)-1)*1000,C208)</f>
        <v>71966</v>
      </c>
      <c r="Q208" s="1" t="str">
        <f>IF(LEFT(D208,1)="M","Male","Female")</f>
        <v>Female</v>
      </c>
      <c r="R208" s="1" t="str">
        <f>TRIM(E208)</f>
        <v>Production Technician II</v>
      </c>
      <c r="S208" s="1" t="str">
        <f>IF(G208="", "To be updated", IF(OR(G208="IT&amp;IS", G208="ITIS"), "IT/IS", G208))</f>
        <v xml:space="preserve">Production       </v>
      </c>
      <c r="T208" s="2">
        <f t="shared" si="15"/>
        <v>14</v>
      </c>
      <c r="U208" s="1">
        <f t="shared" si="16"/>
        <v>3</v>
      </c>
      <c r="V208" s="1">
        <f t="shared" ca="1" si="19"/>
        <v>72</v>
      </c>
    </row>
    <row r="209" spans="1:22" x14ac:dyDescent="0.25">
      <c r="A209" s="1">
        <v>10121</v>
      </c>
      <c r="B209" s="3">
        <v>33182</v>
      </c>
      <c r="C209" s="1">
        <v>63051</v>
      </c>
      <c r="D209" s="1" t="s">
        <v>17</v>
      </c>
      <c r="E209" s="1" t="s">
        <v>32</v>
      </c>
      <c r="F209" s="1" t="s">
        <v>12</v>
      </c>
      <c r="G209" s="1" t="s">
        <v>33</v>
      </c>
      <c r="H209" s="1">
        <v>11</v>
      </c>
      <c r="I209" s="1">
        <v>3</v>
      </c>
      <c r="J209" s="1">
        <v>0</v>
      </c>
      <c r="M209" s="1" t="str">
        <f>SUBSTITUTE(TEXT(B209,"dd/mm/yyyy"),"-","/")</f>
        <v>05/11/1990</v>
      </c>
      <c r="N209" s="3" t="str">
        <f t="shared" si="17"/>
        <v>05/11/1990</v>
      </c>
      <c r="O209" s="3" t="str">
        <f t="shared" si="18"/>
        <v>05/11/1990</v>
      </c>
      <c r="P209" s="1">
        <f>IF(RIGHT(C209,1)="K", LEFT(C209,LEN(C209)-1)*1000,C209)</f>
        <v>63051</v>
      </c>
      <c r="Q209" s="1" t="str">
        <f>IF(LEFT(D209,1)="M","Male","Female")</f>
        <v>Female</v>
      </c>
      <c r="R209" s="1" t="str">
        <f>TRIM(E209)</f>
        <v>Area Sales Manager</v>
      </c>
      <c r="S209" s="1" t="str">
        <f>IF(G209="", "To be updated", IF(OR(G209="IT&amp;IS", G209="ITIS"), "IT/IS", G209))</f>
        <v>Sales</v>
      </c>
      <c r="T209" s="2">
        <f t="shared" si="15"/>
        <v>11</v>
      </c>
      <c r="U209" s="1">
        <f t="shared" si="16"/>
        <v>3</v>
      </c>
      <c r="V209" s="1">
        <f t="shared" ca="1" si="19"/>
        <v>34</v>
      </c>
    </row>
    <row r="210" spans="1:22" x14ac:dyDescent="0.25">
      <c r="A210" s="1">
        <v>10021</v>
      </c>
      <c r="B210" s="3">
        <v>28076</v>
      </c>
      <c r="C210" s="1">
        <v>47414</v>
      </c>
      <c r="D210" s="1" t="s">
        <v>22</v>
      </c>
      <c r="E210" s="1" t="s">
        <v>11</v>
      </c>
      <c r="F210" s="1" t="s">
        <v>12</v>
      </c>
      <c r="G210" s="1" t="s">
        <v>13</v>
      </c>
      <c r="H210" s="1">
        <v>12</v>
      </c>
      <c r="I210" s="1">
        <v>3</v>
      </c>
      <c r="J210" s="1">
        <v>0</v>
      </c>
      <c r="M210" s="1" t="str">
        <f>SUBSTITUTE(TEXT(B210,"dd/mm/yyyy"),"-","/")</f>
        <v>12/11/1976</v>
      </c>
      <c r="N210" s="3" t="str">
        <f t="shared" si="17"/>
        <v>12/11/1976</v>
      </c>
      <c r="O210" s="3" t="str">
        <f t="shared" si="18"/>
        <v>12/11/1976</v>
      </c>
      <c r="P210" s="1">
        <f>IF(RIGHT(C210,1)="K", LEFT(C210,LEN(C210)-1)*1000,C210)</f>
        <v>47414</v>
      </c>
      <c r="Q210" s="1" t="str">
        <f>IF(LEFT(D210,1)="M","Male","Female")</f>
        <v>Male</v>
      </c>
      <c r="R210" s="1" t="str">
        <f>TRIM(E210)</f>
        <v>Production Technician I</v>
      </c>
      <c r="S210" s="1" t="str">
        <f>IF(G210="", "To be updated", IF(OR(G210="IT&amp;IS", G210="ITIS"), "IT/IS", G210))</f>
        <v xml:space="preserve">Production       </v>
      </c>
      <c r="T210" s="2">
        <f t="shared" si="15"/>
        <v>12</v>
      </c>
      <c r="U210" s="1">
        <f t="shared" si="16"/>
        <v>3</v>
      </c>
      <c r="V210" s="1">
        <f t="shared" ca="1" si="19"/>
        <v>48</v>
      </c>
    </row>
    <row r="211" spans="1:22" x14ac:dyDescent="0.25">
      <c r="A211" s="1">
        <v>10281</v>
      </c>
      <c r="B211" s="1" t="s">
        <v>194</v>
      </c>
      <c r="C211" s="1">
        <v>53060</v>
      </c>
      <c r="D211" s="1" t="s">
        <v>22</v>
      </c>
      <c r="E211" s="1" t="s">
        <v>11</v>
      </c>
      <c r="F211" s="1" t="s">
        <v>12</v>
      </c>
      <c r="G211" s="1" t="s">
        <v>13</v>
      </c>
      <c r="H211" s="1">
        <v>14</v>
      </c>
      <c r="I211" s="1">
        <v>3</v>
      </c>
      <c r="J211" s="1">
        <v>0</v>
      </c>
      <c r="M211" s="1" t="str">
        <f>SUBSTITUTE(TEXT(B211,"dd/mm/yyyy"),"-","/")</f>
        <v>11/24/1979</v>
      </c>
      <c r="N211" s="3">
        <f t="shared" si="17"/>
        <v>29183</v>
      </c>
      <c r="O211" s="3" t="str">
        <f t="shared" si="18"/>
        <v>24/11/1979</v>
      </c>
      <c r="P211" s="1">
        <f>IF(RIGHT(C211,1)="K", LEFT(C211,LEN(C211)-1)*1000,C211)</f>
        <v>53060</v>
      </c>
      <c r="Q211" s="1" t="str">
        <f>IF(LEFT(D211,1)="M","Male","Female")</f>
        <v>Male</v>
      </c>
      <c r="R211" s="1" t="str">
        <f>TRIM(E211)</f>
        <v>Production Technician I</v>
      </c>
      <c r="S211" s="1" t="str">
        <f>IF(G211="", "To be updated", IF(OR(G211="IT&amp;IS", G211="ITIS"), "IT/IS", G211))</f>
        <v xml:space="preserve">Production       </v>
      </c>
      <c r="T211" s="2">
        <f t="shared" si="15"/>
        <v>14</v>
      </c>
      <c r="U211" s="1">
        <f t="shared" si="16"/>
        <v>3</v>
      </c>
      <c r="V211" s="1">
        <f t="shared" ca="1" si="19"/>
        <v>45</v>
      </c>
    </row>
    <row r="212" spans="1:22" x14ac:dyDescent="0.25">
      <c r="A212" s="1">
        <v>10041</v>
      </c>
      <c r="B212" s="1" t="s">
        <v>195</v>
      </c>
      <c r="C212" s="1">
        <v>68829</v>
      </c>
      <c r="D212" s="1" t="s">
        <v>22</v>
      </c>
      <c r="E212" s="1" t="s">
        <v>32</v>
      </c>
      <c r="F212" s="1" t="s">
        <v>12</v>
      </c>
      <c r="G212" s="1" t="s">
        <v>33</v>
      </c>
      <c r="H212" s="1">
        <v>20</v>
      </c>
      <c r="I212" s="1">
        <v>5</v>
      </c>
      <c r="J212" s="1">
        <v>0</v>
      </c>
      <c r="M212" s="1" t="str">
        <f>SUBSTITUTE(TEXT(B212,"dd/mm/yyyy"),"-","/")</f>
        <v>05/19/1982</v>
      </c>
      <c r="N212" s="3">
        <f t="shared" si="17"/>
        <v>30090</v>
      </c>
      <c r="O212" s="3" t="str">
        <f t="shared" si="18"/>
        <v>19/05/1982</v>
      </c>
      <c r="P212" s="1">
        <f>IF(RIGHT(C212,1)="K", LEFT(C212,LEN(C212)-1)*1000,C212)</f>
        <v>68829</v>
      </c>
      <c r="Q212" s="1" t="str">
        <f>IF(LEFT(D212,1)="M","Male","Female")</f>
        <v>Male</v>
      </c>
      <c r="R212" s="1" t="str">
        <f>TRIM(E212)</f>
        <v>Area Sales Manager</v>
      </c>
      <c r="S212" s="1" t="str">
        <f>IF(G212="", "To be updated", IF(OR(G212="IT&amp;IS", G212="ITIS"), "IT/IS", G212))</f>
        <v>Sales</v>
      </c>
      <c r="T212" s="2">
        <f t="shared" si="15"/>
        <v>20</v>
      </c>
      <c r="U212" s="1">
        <f t="shared" si="16"/>
        <v>5</v>
      </c>
      <c r="V212" s="1">
        <f t="shared" ca="1" si="19"/>
        <v>43</v>
      </c>
    </row>
    <row r="213" spans="1:22" x14ac:dyDescent="0.25">
      <c r="A213" s="1">
        <v>10148</v>
      </c>
      <c r="B213" s="3">
        <v>28860</v>
      </c>
      <c r="C213" s="1">
        <v>63515</v>
      </c>
      <c r="D213" s="1" t="s">
        <v>17</v>
      </c>
      <c r="E213" s="1" t="s">
        <v>11</v>
      </c>
      <c r="F213" s="1" t="s">
        <v>15</v>
      </c>
      <c r="G213" s="1" t="s">
        <v>13</v>
      </c>
      <c r="H213" s="1">
        <v>20</v>
      </c>
      <c r="I213" s="1">
        <v>4</v>
      </c>
      <c r="J213" s="1">
        <v>0</v>
      </c>
      <c r="M213" s="1" t="str">
        <f>SUBSTITUTE(TEXT(B213,"dd/mm/yyyy"),"-","/")</f>
        <v>05/01/1979</v>
      </c>
      <c r="N213" s="3" t="str">
        <f t="shared" si="17"/>
        <v>05/01/1979</v>
      </c>
      <c r="O213" s="3" t="str">
        <f t="shared" si="18"/>
        <v>05/01/1979</v>
      </c>
      <c r="P213" s="1">
        <f>IF(RIGHT(C213,1)="K", LEFT(C213,LEN(C213)-1)*1000,C213)</f>
        <v>63515</v>
      </c>
      <c r="Q213" s="1" t="str">
        <f>IF(LEFT(D213,1)="M","Male","Female")</f>
        <v>Female</v>
      </c>
      <c r="R213" s="1" t="str">
        <f>TRIM(E213)</f>
        <v>Production Technician I</v>
      </c>
      <c r="S213" s="1" t="str">
        <f>IF(G213="", "To be updated", IF(OR(G213="IT&amp;IS", G213="ITIS"), "IT/IS", G213))</f>
        <v xml:space="preserve">Production       </v>
      </c>
      <c r="T213" s="2">
        <f t="shared" si="15"/>
        <v>20</v>
      </c>
      <c r="U213" s="1">
        <f t="shared" si="16"/>
        <v>4</v>
      </c>
      <c r="V213" s="1">
        <f t="shared" ca="1" si="19"/>
        <v>46</v>
      </c>
    </row>
    <row r="214" spans="1:22" x14ac:dyDescent="0.25">
      <c r="A214" s="1">
        <v>10005</v>
      </c>
      <c r="B214" s="1" t="s">
        <v>196</v>
      </c>
      <c r="C214" s="1">
        <v>108987</v>
      </c>
      <c r="D214" s="1" t="s">
        <v>22</v>
      </c>
      <c r="E214" s="1" t="s">
        <v>20</v>
      </c>
      <c r="F214" s="1" t="s">
        <v>15</v>
      </c>
      <c r="G214" s="1" t="s">
        <v>21</v>
      </c>
      <c r="H214" s="1">
        <v>14</v>
      </c>
      <c r="I214" s="1">
        <v>5</v>
      </c>
      <c r="J214" s="1">
        <v>3</v>
      </c>
      <c r="M214" s="1" t="str">
        <f>SUBSTITUTE(TEXT(B214,"dd/mm/yyyy"),"-","/")</f>
        <v>02/20/1979</v>
      </c>
      <c r="N214" s="3">
        <f t="shared" si="17"/>
        <v>28906</v>
      </c>
      <c r="O214" s="3" t="str">
        <f t="shared" si="18"/>
        <v>20/02/1979</v>
      </c>
      <c r="P214" s="1">
        <f>IF(RIGHT(C214,1)="K", LEFT(C214,LEN(C214)-1)*1000,C214)</f>
        <v>108987</v>
      </c>
      <c r="Q214" s="1" t="str">
        <f>IF(LEFT(D214,1)="M","Male","Female")</f>
        <v>Male</v>
      </c>
      <c r="R214" s="1" t="str">
        <f>TRIM(E214)</f>
        <v>Software Engineer</v>
      </c>
      <c r="S214" s="1" t="str">
        <f>IF(G214="", "To be updated", IF(OR(G214="IT&amp;IS", G214="ITIS"), "IT/IS", G214))</f>
        <v>Software Engineering</v>
      </c>
      <c r="T214" s="2">
        <f t="shared" si="15"/>
        <v>14</v>
      </c>
      <c r="U214" s="1">
        <f t="shared" si="16"/>
        <v>5</v>
      </c>
      <c r="V214" s="1">
        <f t="shared" ca="1" si="19"/>
        <v>46</v>
      </c>
    </row>
    <row r="215" spans="1:22" x14ac:dyDescent="0.25">
      <c r="A215" s="1">
        <v>10259</v>
      </c>
      <c r="B215" s="3">
        <v>30811</v>
      </c>
      <c r="C215" s="1">
        <v>93093</v>
      </c>
      <c r="D215" s="1" t="s">
        <v>22</v>
      </c>
      <c r="E215" s="1" t="s">
        <v>24</v>
      </c>
      <c r="F215" s="1" t="s">
        <v>15</v>
      </c>
      <c r="G215" s="1" t="s">
        <v>16</v>
      </c>
      <c r="H215" s="1">
        <v>13</v>
      </c>
      <c r="I215" s="1">
        <v>4</v>
      </c>
      <c r="J215" s="1">
        <v>5</v>
      </c>
      <c r="M215" s="1" t="str">
        <f>SUBSTITUTE(TEXT(B215,"dd/mm/yyyy"),"-","/")</f>
        <v>09/05/1984</v>
      </c>
      <c r="N215" s="3" t="str">
        <f t="shared" si="17"/>
        <v>09/05/1984</v>
      </c>
      <c r="O215" s="3" t="str">
        <f t="shared" si="18"/>
        <v>09/05/1984</v>
      </c>
      <c r="P215" s="1">
        <f>IF(RIGHT(C215,1)="K", LEFT(C215,LEN(C215)-1)*1000,C215)</f>
        <v>93093</v>
      </c>
      <c r="Q215" s="1" t="str">
        <f>IF(LEFT(D215,1)="M","Male","Female")</f>
        <v>Male</v>
      </c>
      <c r="R215" s="1" t="str">
        <f>TRIM(E215)</f>
        <v>Data Analyst</v>
      </c>
      <c r="S215" s="1" t="str">
        <f>IF(G215="", "To be updated", IF(OR(G215="IT&amp;IS", G215="ITIS"), "IT/IS", G215))</f>
        <v>IT/IS</v>
      </c>
      <c r="T215" s="2">
        <f t="shared" si="15"/>
        <v>13</v>
      </c>
      <c r="U215" s="1">
        <f t="shared" si="16"/>
        <v>4</v>
      </c>
      <c r="V215" s="1">
        <f t="shared" ca="1" si="19"/>
        <v>41</v>
      </c>
    </row>
    <row r="216" spans="1:22" x14ac:dyDescent="0.25">
      <c r="A216" s="1">
        <v>10286</v>
      </c>
      <c r="B216" s="1" t="s">
        <v>198</v>
      </c>
      <c r="C216" s="1">
        <v>53564</v>
      </c>
      <c r="D216" s="1" t="s">
        <v>22</v>
      </c>
      <c r="E216" s="1" t="s">
        <v>11</v>
      </c>
      <c r="F216" s="1" t="s">
        <v>15</v>
      </c>
      <c r="G216" s="1" t="s">
        <v>13</v>
      </c>
      <c r="H216" s="1">
        <v>15</v>
      </c>
      <c r="I216" s="1">
        <v>5</v>
      </c>
      <c r="J216" s="1">
        <v>0</v>
      </c>
      <c r="M216" s="1" t="str">
        <f>SUBSTITUTE(TEXT(B216,"dd/mm/yyyy"),"-","/")</f>
        <v>03/17/1988</v>
      </c>
      <c r="N216" s="3">
        <f t="shared" si="17"/>
        <v>32219</v>
      </c>
      <c r="O216" s="3" t="str">
        <f t="shared" si="18"/>
        <v>17/03/1988</v>
      </c>
      <c r="P216" s="1">
        <f>IF(RIGHT(C216,1)="K", LEFT(C216,LEN(C216)-1)*1000,C216)</f>
        <v>53564</v>
      </c>
      <c r="Q216" s="1" t="str">
        <f>IF(LEFT(D216,1)="M","Male","Female")</f>
        <v>Male</v>
      </c>
      <c r="R216" s="1" t="str">
        <f>TRIM(E216)</f>
        <v>Production Technician I</v>
      </c>
      <c r="S216" s="1" t="str">
        <f>IF(G216="", "To be updated", IF(OR(G216="IT&amp;IS", G216="ITIS"), "IT/IS", G216))</f>
        <v xml:space="preserve">Production       </v>
      </c>
      <c r="T216" s="2">
        <f t="shared" si="15"/>
        <v>15</v>
      </c>
      <c r="U216" s="1">
        <f t="shared" si="16"/>
        <v>5</v>
      </c>
      <c r="V216" s="1">
        <f t="shared" ca="1" si="19"/>
        <v>37</v>
      </c>
    </row>
    <row r="217" spans="1:22" x14ac:dyDescent="0.25">
      <c r="A217" s="1">
        <v>10297</v>
      </c>
      <c r="B217" s="1" t="s">
        <v>197</v>
      </c>
      <c r="C217" s="1">
        <v>60270</v>
      </c>
      <c r="D217" s="1" t="s">
        <v>17</v>
      </c>
      <c r="E217" s="1" t="s">
        <v>18</v>
      </c>
      <c r="F217" s="1" t="s">
        <v>15</v>
      </c>
      <c r="G217" s="1" t="s">
        <v>13</v>
      </c>
      <c r="H217" s="1">
        <v>11</v>
      </c>
      <c r="I217" s="1">
        <v>5</v>
      </c>
      <c r="J217" s="1">
        <v>0</v>
      </c>
      <c r="M217" s="1" t="str">
        <f>SUBSTITUTE(TEXT(B217,"dd/mm/yyyy"),"-","/")</f>
        <v>07/18/1989</v>
      </c>
      <c r="N217" s="3">
        <f t="shared" si="17"/>
        <v>32707</v>
      </c>
      <c r="O217" s="3" t="str">
        <f t="shared" si="18"/>
        <v>18/07/1989</v>
      </c>
      <c r="P217" s="1">
        <f>IF(RIGHT(C217,1)="K", LEFT(C217,LEN(C217)-1)*1000,C217)</f>
        <v>60270</v>
      </c>
      <c r="Q217" s="1" t="str">
        <f>IF(LEFT(D217,1)="M","Male","Female")</f>
        <v>Female</v>
      </c>
      <c r="R217" s="1" t="str">
        <f>TRIM(E217)</f>
        <v>Production Technician II</v>
      </c>
      <c r="S217" s="1" t="str">
        <f>IF(G217="", "To be updated", IF(OR(G217="IT&amp;IS", G217="ITIS"), "IT/IS", G217))</f>
        <v xml:space="preserve">Production       </v>
      </c>
      <c r="T217" s="2">
        <f t="shared" si="15"/>
        <v>11</v>
      </c>
      <c r="U217" s="1">
        <f t="shared" si="16"/>
        <v>5</v>
      </c>
      <c r="V217" s="1">
        <f t="shared" ca="1" si="19"/>
        <v>36</v>
      </c>
    </row>
    <row r="218" spans="1:22" x14ac:dyDescent="0.25">
      <c r="A218" s="1">
        <v>10171</v>
      </c>
      <c r="B218" s="1" t="s">
        <v>199</v>
      </c>
      <c r="C218" s="1">
        <v>45998</v>
      </c>
      <c r="D218" s="1" t="s">
        <v>17</v>
      </c>
      <c r="E218" s="1" t="s">
        <v>11</v>
      </c>
      <c r="F218" s="1" t="s">
        <v>15</v>
      </c>
      <c r="G218" s="1" t="s">
        <v>13</v>
      </c>
      <c r="H218" s="1">
        <v>11</v>
      </c>
      <c r="I218" s="1">
        <v>4</v>
      </c>
      <c r="J218" s="1">
        <v>0</v>
      </c>
      <c r="M218" s="1" t="str">
        <f>SUBSTITUTE(TEXT(B218,"dd/mm/yyyy"),"-","/")</f>
        <v>07/20/1986</v>
      </c>
      <c r="N218" s="3">
        <f t="shared" si="17"/>
        <v>31613</v>
      </c>
      <c r="O218" s="3" t="str">
        <f t="shared" si="18"/>
        <v>20/07/1986</v>
      </c>
      <c r="P218" s="1">
        <f>IF(RIGHT(C218,1)="K", LEFT(C218,LEN(C218)-1)*1000,C218)</f>
        <v>45998</v>
      </c>
      <c r="Q218" s="1" t="str">
        <f>IF(LEFT(D218,1)="M","Male","Female")</f>
        <v>Female</v>
      </c>
      <c r="R218" s="1" t="str">
        <f>TRIM(E218)</f>
        <v>Production Technician I</v>
      </c>
      <c r="S218" s="1" t="str">
        <f>IF(G218="", "To be updated", IF(OR(G218="IT&amp;IS", G218="ITIS"), "IT/IS", G218))</f>
        <v xml:space="preserve">Production       </v>
      </c>
      <c r="T218" s="2">
        <f t="shared" si="15"/>
        <v>11</v>
      </c>
      <c r="U218" s="1">
        <f t="shared" si="16"/>
        <v>4</v>
      </c>
      <c r="V218" s="1">
        <f t="shared" ca="1" si="19"/>
        <v>39</v>
      </c>
    </row>
    <row r="219" spans="1:22" x14ac:dyDescent="0.25">
      <c r="A219" s="1">
        <v>10032</v>
      </c>
      <c r="B219" s="1" t="s">
        <v>200</v>
      </c>
      <c r="C219" s="1">
        <v>57954</v>
      </c>
      <c r="D219" s="1" t="s">
        <v>17</v>
      </c>
      <c r="E219" s="1" t="s">
        <v>18</v>
      </c>
      <c r="F219" s="1" t="s">
        <v>15</v>
      </c>
      <c r="G219" s="1" t="s">
        <v>13</v>
      </c>
      <c r="H219" s="1">
        <v>23</v>
      </c>
      <c r="I219" s="1">
        <v>5</v>
      </c>
      <c r="J219" s="1">
        <v>0</v>
      </c>
      <c r="M219" s="1" t="str">
        <f>SUBSTITUTE(TEXT(B219,"dd/mm/yyyy"),"-","/")</f>
        <v>08/17/1986</v>
      </c>
      <c r="N219" s="3">
        <f t="shared" si="17"/>
        <v>31641</v>
      </c>
      <c r="O219" s="3" t="str">
        <f t="shared" si="18"/>
        <v>17/08/1986</v>
      </c>
      <c r="P219" s="1">
        <f>IF(RIGHT(C219,1)="K", LEFT(C219,LEN(C219)-1)*1000,C219)</f>
        <v>57954</v>
      </c>
      <c r="Q219" s="1" t="str">
        <f>IF(LEFT(D219,1)="M","Male","Female")</f>
        <v>Female</v>
      </c>
      <c r="R219" s="1" t="str">
        <f>TRIM(E219)</f>
        <v>Production Technician II</v>
      </c>
      <c r="S219" s="1" t="str">
        <f>IF(G219="", "To be updated", IF(OR(G219="IT&amp;IS", G219="ITIS"), "IT/IS", G219))</f>
        <v xml:space="preserve">Production       </v>
      </c>
      <c r="T219" s="2">
        <f t="shared" si="15"/>
        <v>23</v>
      </c>
      <c r="U219" s="1">
        <f t="shared" si="16"/>
        <v>5</v>
      </c>
      <c r="V219" s="1">
        <f t="shared" ca="1" si="19"/>
        <v>39</v>
      </c>
    </row>
    <row r="220" spans="1:22" x14ac:dyDescent="0.25">
      <c r="A220" s="1">
        <v>10130</v>
      </c>
      <c r="B220" s="3">
        <v>28373</v>
      </c>
      <c r="C220" s="1">
        <v>74669</v>
      </c>
      <c r="D220" s="1" t="s">
        <v>17</v>
      </c>
      <c r="E220" s="1" t="s">
        <v>30</v>
      </c>
      <c r="F220" s="1" t="s">
        <v>15</v>
      </c>
      <c r="G220" s="1" t="s">
        <v>13</v>
      </c>
      <c r="H220" s="1">
        <v>21</v>
      </c>
      <c r="I220" s="1">
        <v>5</v>
      </c>
      <c r="J220" s="1">
        <v>0</v>
      </c>
      <c r="M220" s="1" t="str">
        <f>SUBSTITUTE(TEXT(B220,"dd/mm/yyyy"),"-","/")</f>
        <v>05/09/1977</v>
      </c>
      <c r="N220" s="3" t="str">
        <f t="shared" si="17"/>
        <v>05/09/1977</v>
      </c>
      <c r="O220" s="3" t="str">
        <f t="shared" si="18"/>
        <v>05/09/1977</v>
      </c>
      <c r="P220" s="1">
        <f>IF(RIGHT(C220,1)="K", LEFT(C220,LEN(C220)-1)*1000,C220)</f>
        <v>74669</v>
      </c>
      <c r="Q220" s="1" t="str">
        <f>IF(LEFT(D220,1)="M","Male","Female")</f>
        <v>Female</v>
      </c>
      <c r="R220" s="1" t="str">
        <f>TRIM(E220)</f>
        <v>Production Manager</v>
      </c>
      <c r="S220" s="1" t="str">
        <f>IF(G220="", "To be updated", IF(OR(G220="IT&amp;IS", G220="ITIS"), "IT/IS", G220))</f>
        <v xml:space="preserve">Production       </v>
      </c>
      <c r="T220" s="2">
        <f t="shared" si="15"/>
        <v>21</v>
      </c>
      <c r="U220" s="1">
        <f t="shared" si="16"/>
        <v>5</v>
      </c>
      <c r="V220" s="1">
        <f t="shared" ca="1" si="19"/>
        <v>48</v>
      </c>
    </row>
    <row r="221" spans="1:22" x14ac:dyDescent="0.25">
      <c r="A221" s="1">
        <v>10217</v>
      </c>
      <c r="B221" s="3">
        <v>29131</v>
      </c>
      <c r="C221" s="1">
        <v>74226</v>
      </c>
      <c r="D221" s="1" t="s">
        <v>17</v>
      </c>
      <c r="E221" s="1" t="s">
        <v>18</v>
      </c>
      <c r="F221" s="1" t="s">
        <v>12</v>
      </c>
      <c r="G221" s="1" t="s">
        <v>13</v>
      </c>
      <c r="H221" s="1">
        <v>19</v>
      </c>
      <c r="I221" s="1" t="s">
        <v>66</v>
      </c>
      <c r="J221" s="1">
        <v>0</v>
      </c>
      <c r="M221" s="1" t="str">
        <f>SUBSTITUTE(TEXT(B221,"dd/mm/yyyy"),"-","/")</f>
        <v>03/10/1979</v>
      </c>
      <c r="N221" s="3" t="str">
        <f t="shared" si="17"/>
        <v>03/10/1979</v>
      </c>
      <c r="O221" s="3" t="str">
        <f t="shared" si="18"/>
        <v>03/10/1979</v>
      </c>
      <c r="P221" s="1">
        <f>IF(RIGHT(C221,1)="K", LEFT(C221,LEN(C221)-1)*1000,C221)</f>
        <v>74226</v>
      </c>
      <c r="Q221" s="1" t="str">
        <f>IF(LEFT(D221,1)="M","Male","Female")</f>
        <v>Female</v>
      </c>
      <c r="R221" s="1" t="str">
        <f>TRIM(E221)</f>
        <v>Production Technician II</v>
      </c>
      <c r="S221" s="1" t="str">
        <f>IF(G221="", "To be updated", IF(OR(G221="IT&amp;IS", G221="ITIS"), "IT/IS", G221))</f>
        <v xml:space="preserve">Production       </v>
      </c>
      <c r="T221" s="2">
        <f t="shared" si="15"/>
        <v>19</v>
      </c>
      <c r="U221" s="1">
        <f t="shared" si="16"/>
        <v>5</v>
      </c>
      <c r="V221" s="1">
        <f t="shared" ca="1" si="19"/>
        <v>45</v>
      </c>
    </row>
    <row r="222" spans="1:22" x14ac:dyDescent="0.25">
      <c r="A222" s="1">
        <v>10016</v>
      </c>
      <c r="B222" s="1" t="s">
        <v>201</v>
      </c>
      <c r="C222" s="1">
        <v>93554</v>
      </c>
      <c r="D222" s="1" t="s">
        <v>17</v>
      </c>
      <c r="E222" s="1" t="s">
        <v>24</v>
      </c>
      <c r="F222" s="1" t="s">
        <v>12</v>
      </c>
      <c r="G222" s="1" t="s">
        <v>16</v>
      </c>
      <c r="H222" s="1">
        <v>13</v>
      </c>
      <c r="I222" s="1">
        <v>5</v>
      </c>
      <c r="J222" s="1">
        <v>7</v>
      </c>
      <c r="M222" s="1" t="str">
        <f>SUBSTITUTE(TEXT(B222,"dd/mm/yyyy"),"-","/")</f>
        <v>09/16/1984</v>
      </c>
      <c r="N222" s="3">
        <f t="shared" si="17"/>
        <v>30941</v>
      </c>
      <c r="O222" s="3" t="str">
        <f t="shared" si="18"/>
        <v>16/09/1984</v>
      </c>
      <c r="P222" s="1">
        <f>IF(RIGHT(C222,1)="K", LEFT(C222,LEN(C222)-1)*1000,C222)</f>
        <v>93554</v>
      </c>
      <c r="Q222" s="1" t="str">
        <f>IF(LEFT(D222,1)="M","Male","Female")</f>
        <v>Female</v>
      </c>
      <c r="R222" s="1" t="str">
        <f>TRIM(E222)</f>
        <v>Data Analyst</v>
      </c>
      <c r="S222" s="1" t="str">
        <f>IF(G222="", "To be updated", IF(OR(G222="IT&amp;IS", G222="ITIS"), "IT/IS", G222))</f>
        <v>IT/IS</v>
      </c>
      <c r="T222" s="2">
        <f t="shared" si="15"/>
        <v>13</v>
      </c>
      <c r="U222" s="1">
        <f t="shared" si="16"/>
        <v>5</v>
      </c>
      <c r="V222" s="1">
        <f t="shared" ca="1" si="19"/>
        <v>41</v>
      </c>
    </row>
    <row r="223" spans="1:22" x14ac:dyDescent="0.25">
      <c r="A223" s="1">
        <v>10050</v>
      </c>
      <c r="B223" s="3">
        <v>32297</v>
      </c>
      <c r="C223" s="1">
        <v>64724</v>
      </c>
      <c r="D223" s="1" t="s">
        <v>22</v>
      </c>
      <c r="E223" s="1" t="s">
        <v>11</v>
      </c>
      <c r="F223" s="1" t="s">
        <v>15</v>
      </c>
      <c r="G223" s="1" t="s">
        <v>13</v>
      </c>
      <c r="H223" s="1">
        <v>16</v>
      </c>
      <c r="I223" s="1">
        <v>3</v>
      </c>
      <c r="J223" s="1">
        <v>0</v>
      </c>
      <c r="M223" s="1" t="str">
        <f>SUBSTITUTE(TEXT(B223,"dd/mm/yyyy"),"-","/")</f>
        <v>03/06/1988</v>
      </c>
      <c r="N223" s="3" t="str">
        <f t="shared" si="17"/>
        <v>03/06/1988</v>
      </c>
      <c r="O223" s="3" t="str">
        <f t="shared" si="18"/>
        <v>03/06/1988</v>
      </c>
      <c r="P223" s="1">
        <f>IF(RIGHT(C223,1)="K", LEFT(C223,LEN(C223)-1)*1000,C223)</f>
        <v>64724</v>
      </c>
      <c r="Q223" s="1" t="str">
        <f>IF(LEFT(D223,1)="M","Male","Female")</f>
        <v>Male</v>
      </c>
      <c r="R223" s="1" t="str">
        <f>TRIM(E223)</f>
        <v>Production Technician I</v>
      </c>
      <c r="S223" s="1" t="str">
        <f>IF(G223="", "To be updated", IF(OR(G223="IT&amp;IS", G223="ITIS"), "IT/IS", G223))</f>
        <v xml:space="preserve">Production       </v>
      </c>
      <c r="T223" s="2">
        <f t="shared" si="15"/>
        <v>16</v>
      </c>
      <c r="U223" s="1">
        <f t="shared" si="16"/>
        <v>3</v>
      </c>
      <c r="V223" s="1">
        <f t="shared" ca="1" si="19"/>
        <v>37</v>
      </c>
    </row>
    <row r="224" spans="1:22" x14ac:dyDescent="0.25">
      <c r="A224" s="1">
        <v>10164</v>
      </c>
      <c r="B224" s="1" t="s">
        <v>202</v>
      </c>
      <c r="C224" s="1">
        <v>47001</v>
      </c>
      <c r="D224" s="1" t="s">
        <v>22</v>
      </c>
      <c r="E224" s="1" t="s">
        <v>11</v>
      </c>
      <c r="F224" s="1" t="s">
        <v>12</v>
      </c>
      <c r="G224" s="1" t="s">
        <v>13</v>
      </c>
      <c r="H224" s="1">
        <v>12</v>
      </c>
      <c r="I224" s="1">
        <v>3</v>
      </c>
      <c r="J224" s="1">
        <v>0</v>
      </c>
      <c r="M224" s="1" t="str">
        <f>SUBSTITUTE(TEXT(B224,"dd/mm/yyyy"),"-","/")</f>
        <v>11/23/1981</v>
      </c>
      <c r="N224" s="3">
        <f t="shared" si="17"/>
        <v>29913</v>
      </c>
      <c r="O224" s="3" t="str">
        <f t="shared" si="18"/>
        <v>23/11/1981</v>
      </c>
      <c r="P224" s="1">
        <f>IF(RIGHT(C224,1)="K", LEFT(C224,LEN(C224)-1)*1000,C224)</f>
        <v>47001</v>
      </c>
      <c r="Q224" s="1" t="str">
        <f>IF(LEFT(D224,1)="M","Male","Female")</f>
        <v>Male</v>
      </c>
      <c r="R224" s="1" t="str">
        <f>TRIM(E224)</f>
        <v>Production Technician I</v>
      </c>
      <c r="S224" s="1" t="str">
        <f>IF(G224="", "To be updated", IF(OR(G224="IT&amp;IS", G224="ITIS"), "IT/IS", G224))</f>
        <v xml:space="preserve">Production       </v>
      </c>
      <c r="T224" s="2">
        <f t="shared" si="15"/>
        <v>12</v>
      </c>
      <c r="U224" s="1">
        <f t="shared" si="16"/>
        <v>3</v>
      </c>
      <c r="V224" s="1">
        <f t="shared" ca="1" si="19"/>
        <v>43</v>
      </c>
    </row>
    <row r="225" spans="1:22" x14ac:dyDescent="0.25">
      <c r="A225" s="1">
        <v>10124</v>
      </c>
      <c r="B225" s="1" t="s">
        <v>203</v>
      </c>
      <c r="C225" s="1">
        <v>61844</v>
      </c>
      <c r="D225" s="1" t="s">
        <v>17</v>
      </c>
      <c r="E225" s="1" t="s">
        <v>32</v>
      </c>
      <c r="F225" s="1" t="s">
        <v>12</v>
      </c>
      <c r="G225" s="1" t="s">
        <v>33</v>
      </c>
      <c r="H225" s="1">
        <v>13</v>
      </c>
      <c r="I225" s="1">
        <v>5</v>
      </c>
      <c r="J225" s="1">
        <v>0</v>
      </c>
      <c r="M225" s="1" t="str">
        <f>SUBSTITUTE(TEXT(B225,"dd/mm/yyyy"),"-","/")</f>
        <v>08/29/1988</v>
      </c>
      <c r="N225" s="3">
        <f t="shared" si="17"/>
        <v>32384</v>
      </c>
      <c r="O225" s="3" t="str">
        <f t="shared" si="18"/>
        <v>29/08/1988</v>
      </c>
      <c r="P225" s="1">
        <f>IF(RIGHT(C225,1)="K", LEFT(C225,LEN(C225)-1)*1000,C225)</f>
        <v>61844</v>
      </c>
      <c r="Q225" s="1" t="str">
        <f>IF(LEFT(D225,1)="M","Male","Female")</f>
        <v>Female</v>
      </c>
      <c r="R225" s="1" t="str">
        <f>TRIM(E225)</f>
        <v>Area Sales Manager</v>
      </c>
      <c r="S225" s="1" t="str">
        <f>IF(G225="", "To be updated", IF(OR(G225="IT&amp;IS", G225="ITIS"), "IT/IS", G225))</f>
        <v>Sales</v>
      </c>
      <c r="T225" s="2">
        <f t="shared" si="15"/>
        <v>13</v>
      </c>
      <c r="U225" s="1">
        <f t="shared" si="16"/>
        <v>5</v>
      </c>
      <c r="V225" s="1">
        <f t="shared" ca="1" si="19"/>
        <v>37</v>
      </c>
    </row>
    <row r="226" spans="1:22" x14ac:dyDescent="0.25">
      <c r="A226" s="1">
        <v>10187</v>
      </c>
      <c r="B226" s="1" t="s">
        <v>204</v>
      </c>
      <c r="C226" s="1">
        <v>46799</v>
      </c>
      <c r="D226" s="1" t="s">
        <v>17</v>
      </c>
      <c r="E226" s="1" t="s">
        <v>11</v>
      </c>
      <c r="F226" s="1" t="s">
        <v>15</v>
      </c>
      <c r="G226" s="1" t="s">
        <v>13</v>
      </c>
      <c r="H226" s="1">
        <v>17</v>
      </c>
      <c r="I226" s="1">
        <v>4</v>
      </c>
      <c r="J226" s="1">
        <v>0</v>
      </c>
      <c r="M226" s="1" t="str">
        <f>SUBSTITUTE(TEXT(B226,"dd/mm/yyyy"),"-","/")</f>
        <v>10/15/1984</v>
      </c>
      <c r="N226" s="3">
        <f t="shared" si="17"/>
        <v>30970</v>
      </c>
      <c r="O226" s="3" t="str">
        <f t="shared" si="18"/>
        <v>15/10/1984</v>
      </c>
      <c r="P226" s="1">
        <f>IF(RIGHT(C226,1)="K", LEFT(C226,LEN(C226)-1)*1000,C226)</f>
        <v>46799</v>
      </c>
      <c r="Q226" s="1" t="str">
        <f>IF(LEFT(D226,1)="M","Male","Female")</f>
        <v>Female</v>
      </c>
      <c r="R226" s="1" t="str">
        <f>TRIM(E226)</f>
        <v>Production Technician I</v>
      </c>
      <c r="S226" s="1" t="str">
        <f>IF(G226="", "To be updated", IF(OR(G226="IT&amp;IS", G226="ITIS"), "IT/IS", G226))</f>
        <v xml:space="preserve">Production       </v>
      </c>
      <c r="T226" s="2">
        <f t="shared" si="15"/>
        <v>17</v>
      </c>
      <c r="U226" s="1">
        <f t="shared" si="16"/>
        <v>4</v>
      </c>
      <c r="V226" s="1">
        <f t="shared" ca="1" si="19"/>
        <v>40</v>
      </c>
    </row>
    <row r="227" spans="1:22" x14ac:dyDescent="0.25">
      <c r="A227" s="1">
        <v>10225</v>
      </c>
      <c r="B227" s="1" t="s">
        <v>205</v>
      </c>
      <c r="C227" s="1">
        <v>59472</v>
      </c>
      <c r="D227" s="1" t="s">
        <v>22</v>
      </c>
      <c r="E227" s="1" t="s">
        <v>11</v>
      </c>
      <c r="F227" s="1" t="s">
        <v>12</v>
      </c>
      <c r="G227" s="1" t="s">
        <v>13</v>
      </c>
      <c r="H227" s="1">
        <v>20</v>
      </c>
      <c r="I227" s="1">
        <v>3</v>
      </c>
      <c r="J227" s="1">
        <v>0</v>
      </c>
      <c r="M227" s="1" t="str">
        <f>SUBSTITUTE(TEXT(B227,"dd/mm/yyyy"),"-","/")</f>
        <v>06/19/1961</v>
      </c>
      <c r="N227" s="3">
        <f t="shared" si="17"/>
        <v>22451</v>
      </c>
      <c r="O227" s="3" t="str">
        <f t="shared" si="18"/>
        <v>19/06/1961</v>
      </c>
      <c r="P227" s="1">
        <f>IF(RIGHT(C227,1)="K", LEFT(C227,LEN(C227)-1)*1000,C227)</f>
        <v>59472</v>
      </c>
      <c r="Q227" s="1" t="str">
        <f>IF(LEFT(D227,1)="M","Male","Female")</f>
        <v>Male</v>
      </c>
      <c r="R227" s="1" t="str">
        <f>TRIM(E227)</f>
        <v>Production Technician I</v>
      </c>
      <c r="S227" s="1" t="str">
        <f>IF(G227="", "To be updated", IF(OR(G227="IT&amp;IS", G227="ITIS"), "IT/IS", G227))</f>
        <v xml:space="preserve">Production       </v>
      </c>
      <c r="T227" s="2">
        <f t="shared" si="15"/>
        <v>20</v>
      </c>
      <c r="U227" s="1">
        <f t="shared" si="16"/>
        <v>3</v>
      </c>
      <c r="V227" s="1">
        <f t="shared" ca="1" si="19"/>
        <v>64</v>
      </c>
    </row>
    <row r="228" spans="1:22" x14ac:dyDescent="0.25">
      <c r="A228" s="1">
        <v>10262</v>
      </c>
      <c r="B228" s="1" t="s">
        <v>206</v>
      </c>
      <c r="C228" s="1">
        <v>46430</v>
      </c>
      <c r="D228" s="1" t="s">
        <v>17</v>
      </c>
      <c r="E228" s="1" t="s">
        <v>11</v>
      </c>
      <c r="F228" s="1" t="s">
        <v>15</v>
      </c>
      <c r="G228" s="1" t="s">
        <v>13</v>
      </c>
      <c r="H228" s="1">
        <v>13</v>
      </c>
      <c r="I228" s="1">
        <v>5</v>
      </c>
      <c r="J228" s="1">
        <v>0</v>
      </c>
      <c r="M228" s="1" t="str">
        <f>SUBSTITUTE(TEXT(B228,"dd/mm/yyyy"),"-","/")</f>
        <v>09/22/1970</v>
      </c>
      <c r="N228" s="3">
        <f t="shared" si="17"/>
        <v>25833</v>
      </c>
      <c r="O228" s="3" t="str">
        <f t="shared" si="18"/>
        <v>22/09/1970</v>
      </c>
      <c r="P228" s="1">
        <f>IF(RIGHT(C228,1)="K", LEFT(C228,LEN(C228)-1)*1000,C228)</f>
        <v>46430</v>
      </c>
      <c r="Q228" s="1" t="str">
        <f>IF(LEFT(D228,1)="M","Male","Female")</f>
        <v>Female</v>
      </c>
      <c r="R228" s="1" t="str">
        <f>TRIM(E228)</f>
        <v>Production Technician I</v>
      </c>
      <c r="S228" s="1" t="str">
        <f>IF(G228="", "To be updated", IF(OR(G228="IT&amp;IS", G228="ITIS"), "IT/IS", G228))</f>
        <v xml:space="preserve">Production       </v>
      </c>
      <c r="T228" s="2">
        <f t="shared" si="15"/>
        <v>13</v>
      </c>
      <c r="U228" s="1">
        <f t="shared" si="16"/>
        <v>5</v>
      </c>
      <c r="V228" s="1">
        <f t="shared" ca="1" si="19"/>
        <v>55</v>
      </c>
    </row>
    <row r="229" spans="1:22" x14ac:dyDescent="0.25">
      <c r="A229" s="1">
        <v>10131</v>
      </c>
      <c r="B229" s="3">
        <v>30844</v>
      </c>
      <c r="C229" s="1">
        <v>83363</v>
      </c>
      <c r="D229" s="1" t="s">
        <v>22</v>
      </c>
      <c r="E229" s="1" t="s">
        <v>20</v>
      </c>
      <c r="F229" s="1" t="s">
        <v>15</v>
      </c>
      <c r="G229" s="1" t="s">
        <v>21</v>
      </c>
      <c r="H229" s="1">
        <v>14</v>
      </c>
      <c r="I229" s="1">
        <v>4</v>
      </c>
      <c r="J229" s="1">
        <v>0</v>
      </c>
      <c r="M229" s="1" t="str">
        <f>SUBSTITUTE(TEXT(B229,"dd/mm/yyyy"),"-","/")</f>
        <v>11/06/1984</v>
      </c>
      <c r="N229" s="3" t="str">
        <f t="shared" si="17"/>
        <v>11/06/1984</v>
      </c>
      <c r="O229" s="3" t="str">
        <f t="shared" si="18"/>
        <v>11/06/1984</v>
      </c>
      <c r="P229" s="1">
        <f>IF(RIGHT(C229,1)="K", LEFT(C229,LEN(C229)-1)*1000,C229)</f>
        <v>83363</v>
      </c>
      <c r="Q229" s="1" t="str">
        <f>IF(LEFT(D229,1)="M","Male","Female")</f>
        <v>Male</v>
      </c>
      <c r="R229" s="1" t="str">
        <f>TRIM(E229)</f>
        <v>Software Engineer</v>
      </c>
      <c r="S229" s="1" t="str">
        <f>IF(G229="", "To be updated", IF(OR(G229="IT&amp;IS", G229="ITIS"), "IT/IS", G229))</f>
        <v>Software Engineering</v>
      </c>
      <c r="T229" s="2">
        <f t="shared" si="15"/>
        <v>14</v>
      </c>
      <c r="U229" s="1">
        <f t="shared" si="16"/>
        <v>4</v>
      </c>
      <c r="V229" s="1">
        <f t="shared" ca="1" si="19"/>
        <v>41</v>
      </c>
    </row>
    <row r="230" spans="1:22" x14ac:dyDescent="0.25">
      <c r="A230" s="1">
        <v>10239</v>
      </c>
      <c r="B230" s="3">
        <v>29560</v>
      </c>
      <c r="C230" s="1">
        <v>95920</v>
      </c>
      <c r="D230" s="1" t="s">
        <v>17</v>
      </c>
      <c r="E230" s="1" t="s">
        <v>39</v>
      </c>
      <c r="F230" s="1" t="s">
        <v>12</v>
      </c>
      <c r="G230" s="1" t="s">
        <v>16</v>
      </c>
      <c r="H230" s="1">
        <v>18</v>
      </c>
      <c r="I230" s="1">
        <v>4</v>
      </c>
      <c r="J230" s="1">
        <v>6</v>
      </c>
      <c r="M230" s="1" t="str">
        <f>SUBSTITUTE(TEXT(B230,"dd/mm/yyyy"),"-","/")</f>
        <v>05/12/1980</v>
      </c>
      <c r="N230" s="3" t="str">
        <f t="shared" si="17"/>
        <v>05/12/1980</v>
      </c>
      <c r="O230" s="3" t="str">
        <f t="shared" si="18"/>
        <v>05/12/1980</v>
      </c>
      <c r="P230" s="1">
        <f>IF(RIGHT(C230,1)="K", LEFT(C230,LEN(C230)-1)*1000,C230)</f>
        <v>95920</v>
      </c>
      <c r="Q230" s="1" t="str">
        <f>IF(LEFT(D230,1)="M","Male","Female")</f>
        <v>Female</v>
      </c>
      <c r="R230" s="1" t="str">
        <f>TRIM(E230)</f>
        <v>BI Developer</v>
      </c>
      <c r="S230" s="1" t="str">
        <f>IF(G230="", "To be updated", IF(OR(G230="IT&amp;IS", G230="ITIS"), "IT/IS", G230))</f>
        <v>IT/IS</v>
      </c>
      <c r="T230" s="2">
        <f t="shared" si="15"/>
        <v>18</v>
      </c>
      <c r="U230" s="1">
        <f t="shared" si="16"/>
        <v>4</v>
      </c>
      <c r="V230" s="1">
        <f t="shared" ca="1" si="19"/>
        <v>44</v>
      </c>
    </row>
    <row r="231" spans="1:22" x14ac:dyDescent="0.25">
      <c r="A231" s="1">
        <v>10152</v>
      </c>
      <c r="B231" s="1" t="s">
        <v>207</v>
      </c>
      <c r="C231" s="1">
        <v>61729</v>
      </c>
      <c r="D231" s="1" t="s">
        <v>22</v>
      </c>
      <c r="E231" s="1" t="s">
        <v>11</v>
      </c>
      <c r="F231" s="1" t="s">
        <v>15</v>
      </c>
      <c r="G231" s="1" t="s">
        <v>13</v>
      </c>
      <c r="H231" s="1">
        <v>22</v>
      </c>
      <c r="I231" s="1">
        <v>5</v>
      </c>
      <c r="J231" s="1">
        <v>0</v>
      </c>
      <c r="M231" s="1" t="str">
        <f>SUBSTITUTE(TEXT(B231,"dd/mm/yyyy"),"-","/")</f>
        <v>12/31/1984</v>
      </c>
      <c r="N231" s="3">
        <f t="shared" si="17"/>
        <v>31047</v>
      </c>
      <c r="O231" s="3" t="str">
        <f t="shared" si="18"/>
        <v>31/12/1984</v>
      </c>
      <c r="P231" s="1">
        <f>IF(RIGHT(C231,1)="K", LEFT(C231,LEN(C231)-1)*1000,C231)</f>
        <v>61729</v>
      </c>
      <c r="Q231" s="1" t="str">
        <f>IF(LEFT(D231,1)="M","Male","Female")</f>
        <v>Male</v>
      </c>
      <c r="R231" s="1" t="str">
        <f>TRIM(E231)</f>
        <v>Production Technician I</v>
      </c>
      <c r="S231" s="1" t="str">
        <f>IF(G231="", "To be updated", IF(OR(G231="IT&amp;IS", G231="ITIS"), "IT/IS", G231))</f>
        <v xml:space="preserve">Production       </v>
      </c>
      <c r="T231" s="2">
        <f t="shared" si="15"/>
        <v>22</v>
      </c>
      <c r="U231" s="1">
        <f t="shared" si="16"/>
        <v>5</v>
      </c>
      <c r="V231" s="1">
        <f t="shared" ca="1" si="19"/>
        <v>40</v>
      </c>
    </row>
    <row r="232" spans="1:22" x14ac:dyDescent="0.25">
      <c r="A232" s="1">
        <v>10140</v>
      </c>
      <c r="B232" s="3">
        <v>20068</v>
      </c>
      <c r="C232" s="1">
        <v>61809</v>
      </c>
      <c r="D232" s="1" t="s">
        <v>22</v>
      </c>
      <c r="E232" s="1" t="s">
        <v>32</v>
      </c>
      <c r="F232" s="1" t="s">
        <v>12</v>
      </c>
      <c r="G232" s="1" t="s">
        <v>33</v>
      </c>
      <c r="H232" s="1">
        <v>12</v>
      </c>
      <c r="I232" s="1">
        <v>3</v>
      </c>
      <c r="J232" s="1">
        <v>0</v>
      </c>
      <c r="M232" s="1" t="str">
        <f>SUBSTITUTE(TEXT(B232,"dd/mm/yyyy"),"-","/")</f>
        <v>10/12/1954</v>
      </c>
      <c r="N232" s="3" t="str">
        <f t="shared" si="17"/>
        <v>10/12/1954</v>
      </c>
      <c r="O232" s="3" t="str">
        <f t="shared" si="18"/>
        <v>10/12/1954</v>
      </c>
      <c r="P232" s="1">
        <f>IF(RIGHT(C232,1)="K", LEFT(C232,LEN(C232)-1)*1000,C232)</f>
        <v>61809</v>
      </c>
      <c r="Q232" s="1" t="str">
        <f>IF(LEFT(D232,1)="M","Male","Female")</f>
        <v>Male</v>
      </c>
      <c r="R232" s="1" t="str">
        <f>TRIM(E232)</f>
        <v>Area Sales Manager</v>
      </c>
      <c r="S232" s="1" t="str">
        <f>IF(G232="", "To be updated", IF(OR(G232="IT&amp;IS", G232="ITIS"), "IT/IS", G232))</f>
        <v>Sales</v>
      </c>
      <c r="T232" s="2">
        <f t="shared" si="15"/>
        <v>12</v>
      </c>
      <c r="U232" s="1">
        <f t="shared" si="16"/>
        <v>3</v>
      </c>
      <c r="V232" s="1">
        <f t="shared" ca="1" si="19"/>
        <v>70</v>
      </c>
    </row>
    <row r="233" spans="1:22" x14ac:dyDescent="0.25">
      <c r="A233" s="1">
        <v>10058</v>
      </c>
      <c r="B233" s="1" t="s">
        <v>208</v>
      </c>
      <c r="C233" s="1">
        <v>45115</v>
      </c>
      <c r="D233" s="1" t="s">
        <v>22</v>
      </c>
      <c r="E233" s="1" t="s">
        <v>11</v>
      </c>
      <c r="F233" s="1" t="s">
        <v>15</v>
      </c>
      <c r="G233" s="1" t="s">
        <v>13</v>
      </c>
      <c r="H233" s="1">
        <v>13</v>
      </c>
      <c r="I233" s="1">
        <v>4</v>
      </c>
      <c r="J233" s="1">
        <v>0</v>
      </c>
      <c r="M233" s="1" t="str">
        <f>SUBSTITUTE(TEXT(B233,"dd/mm/yyyy"),"-","/")</f>
        <v>07/22/1982</v>
      </c>
      <c r="N233" s="3">
        <f t="shared" si="17"/>
        <v>30154</v>
      </c>
      <c r="O233" s="3" t="str">
        <f t="shared" si="18"/>
        <v>22/07/1982</v>
      </c>
      <c r="P233" s="1">
        <f>IF(RIGHT(C233,1)="K", LEFT(C233,LEN(C233)-1)*1000,C233)</f>
        <v>45115</v>
      </c>
      <c r="Q233" s="1" t="str">
        <f>IF(LEFT(D233,1)="M","Male","Female")</f>
        <v>Male</v>
      </c>
      <c r="R233" s="1" t="str">
        <f>TRIM(E233)</f>
        <v>Production Technician I</v>
      </c>
      <c r="S233" s="1" t="str">
        <f>IF(G233="", "To be updated", IF(OR(G233="IT&amp;IS", G233="ITIS"), "IT/IS", G233))</f>
        <v xml:space="preserve">Production       </v>
      </c>
      <c r="T233" s="2">
        <f t="shared" si="15"/>
        <v>13</v>
      </c>
      <c r="U233" s="1">
        <f t="shared" si="16"/>
        <v>4</v>
      </c>
      <c r="V233" s="1">
        <f t="shared" ca="1" si="19"/>
        <v>43</v>
      </c>
    </row>
    <row r="234" spans="1:22" x14ac:dyDescent="0.25">
      <c r="A234" s="1">
        <v>10011</v>
      </c>
      <c r="B234" s="3">
        <v>26999</v>
      </c>
      <c r="C234" s="1">
        <v>46738</v>
      </c>
      <c r="D234" s="1" t="s">
        <v>17</v>
      </c>
      <c r="E234" s="1" t="s">
        <v>11</v>
      </c>
      <c r="F234" s="1" t="s">
        <v>12</v>
      </c>
      <c r="G234" s="1" t="s">
        <v>13</v>
      </c>
      <c r="H234" s="1">
        <v>16</v>
      </c>
      <c r="I234" s="1">
        <v>5</v>
      </c>
      <c r="J234" s="1">
        <v>0</v>
      </c>
      <c r="M234" s="1" t="str">
        <f>SUBSTITUTE(TEXT(B234,"dd/mm/yyyy"),"-","/")</f>
        <v>01/12/1973</v>
      </c>
      <c r="N234" s="3" t="str">
        <f t="shared" si="17"/>
        <v>01/12/1973</v>
      </c>
      <c r="O234" s="3" t="str">
        <f t="shared" si="18"/>
        <v>01/12/1973</v>
      </c>
      <c r="P234" s="1">
        <f>IF(RIGHT(C234,1)="K", LEFT(C234,LEN(C234)-1)*1000,C234)</f>
        <v>46738</v>
      </c>
      <c r="Q234" s="1" t="str">
        <f>IF(LEFT(D234,1)="M","Male","Female")</f>
        <v>Female</v>
      </c>
      <c r="R234" s="1" t="str">
        <f>TRIM(E234)</f>
        <v>Production Technician I</v>
      </c>
      <c r="S234" s="1" t="str">
        <f>IF(G234="", "To be updated", IF(OR(G234="IT&amp;IS", G234="ITIS"), "IT/IS", G234))</f>
        <v xml:space="preserve">Production       </v>
      </c>
      <c r="T234" s="2">
        <f t="shared" si="15"/>
        <v>16</v>
      </c>
      <c r="U234" s="1">
        <f t="shared" si="16"/>
        <v>5</v>
      </c>
      <c r="V234" s="1">
        <f t="shared" ca="1" si="19"/>
        <v>51</v>
      </c>
    </row>
    <row r="235" spans="1:22" x14ac:dyDescent="0.25">
      <c r="A235" s="1">
        <v>10230</v>
      </c>
      <c r="B235" s="3">
        <v>29715</v>
      </c>
      <c r="C235" s="1">
        <v>64971</v>
      </c>
      <c r="D235" s="1" t="s">
        <v>17</v>
      </c>
      <c r="E235" s="1" t="s">
        <v>18</v>
      </c>
      <c r="F235" s="1" t="s">
        <v>15</v>
      </c>
      <c r="G235" s="1" t="s">
        <v>13</v>
      </c>
      <c r="H235" s="1">
        <v>15</v>
      </c>
      <c r="I235" s="1">
        <v>4</v>
      </c>
      <c r="J235" s="1">
        <v>0</v>
      </c>
      <c r="M235" s="1" t="str">
        <f>SUBSTITUTE(TEXT(B235,"dd/mm/yyyy"),"-","/")</f>
        <v>09/05/1981</v>
      </c>
      <c r="N235" s="3" t="str">
        <f t="shared" si="17"/>
        <v>09/05/1981</v>
      </c>
      <c r="O235" s="3" t="str">
        <f t="shared" si="18"/>
        <v>09/05/1981</v>
      </c>
      <c r="P235" s="1">
        <f>IF(RIGHT(C235,1)="K", LEFT(C235,LEN(C235)-1)*1000,C235)</f>
        <v>64971</v>
      </c>
      <c r="Q235" s="1" t="str">
        <f>IF(LEFT(D235,1)="M","Male","Female")</f>
        <v>Female</v>
      </c>
      <c r="R235" s="1" t="str">
        <f>TRIM(E235)</f>
        <v>Production Technician II</v>
      </c>
      <c r="S235" s="1" t="str">
        <f>IF(G235="", "To be updated", IF(OR(G235="IT&amp;IS", G235="ITIS"), "IT/IS", G235))</f>
        <v xml:space="preserve">Production       </v>
      </c>
      <c r="T235" s="2">
        <f t="shared" si="15"/>
        <v>15</v>
      </c>
      <c r="U235" s="1">
        <f t="shared" si="16"/>
        <v>4</v>
      </c>
      <c r="V235" s="1">
        <f t="shared" ca="1" si="19"/>
        <v>44</v>
      </c>
    </row>
    <row r="236" spans="1:22" x14ac:dyDescent="0.25">
      <c r="A236" s="1">
        <v>10224</v>
      </c>
      <c r="B236" s="3">
        <v>26365</v>
      </c>
      <c r="C236" s="1">
        <v>55578</v>
      </c>
      <c r="D236" s="1" t="s">
        <v>22</v>
      </c>
      <c r="E236" s="1" t="s">
        <v>18</v>
      </c>
      <c r="F236" s="1" t="s">
        <v>15</v>
      </c>
      <c r="G236" s="1" t="s">
        <v>13</v>
      </c>
      <c r="H236" s="1">
        <v>17</v>
      </c>
      <c r="I236" s="1">
        <v>5</v>
      </c>
      <c r="J236" s="1">
        <v>0</v>
      </c>
      <c r="M236" s="1" t="str">
        <f>SUBSTITUTE(TEXT(B236,"dd/mm/yyyy"),"-","/")</f>
        <v>07/03/1972</v>
      </c>
      <c r="N236" s="3" t="str">
        <f t="shared" si="17"/>
        <v>07/03/1972</v>
      </c>
      <c r="O236" s="3" t="str">
        <f t="shared" si="18"/>
        <v>07/03/1972</v>
      </c>
      <c r="P236" s="1">
        <f>IF(RIGHT(C236,1)="K", LEFT(C236,LEN(C236)-1)*1000,C236)</f>
        <v>55578</v>
      </c>
      <c r="Q236" s="1" t="str">
        <f>IF(LEFT(D236,1)="M","Male","Female")</f>
        <v>Male</v>
      </c>
      <c r="R236" s="1" t="str">
        <f>TRIM(E236)</f>
        <v>Production Technician II</v>
      </c>
      <c r="S236" s="1" t="str">
        <f>IF(G236="", "To be updated", IF(OR(G236="IT&amp;IS", G236="ITIS"), "IT/IS", G236))</f>
        <v xml:space="preserve">Production       </v>
      </c>
      <c r="T236" s="2">
        <f t="shared" si="15"/>
        <v>17</v>
      </c>
      <c r="U236" s="1">
        <f t="shared" si="16"/>
        <v>5</v>
      </c>
      <c r="V236" s="1">
        <f t="shared" ca="1" si="19"/>
        <v>53</v>
      </c>
    </row>
    <row r="237" spans="1:22" x14ac:dyDescent="0.25">
      <c r="A237" s="1">
        <v>10047</v>
      </c>
      <c r="B237" s="3">
        <v>27211</v>
      </c>
      <c r="C237" s="1">
        <v>50428</v>
      </c>
      <c r="D237" s="1" t="s">
        <v>22</v>
      </c>
      <c r="E237" s="1" t="s">
        <v>11</v>
      </c>
      <c r="F237" s="1" t="s">
        <v>15</v>
      </c>
      <c r="G237" s="1" t="s">
        <v>13</v>
      </c>
      <c r="H237" s="1">
        <v>17</v>
      </c>
      <c r="I237" s="1">
        <v>3</v>
      </c>
      <c r="J237" s="1">
        <v>0</v>
      </c>
      <c r="M237" s="1" t="str">
        <f>SUBSTITUTE(TEXT(B237,"dd/mm/yyyy"),"-","/")</f>
        <v>01/07/1974</v>
      </c>
      <c r="N237" s="3" t="str">
        <f t="shared" si="17"/>
        <v>01/07/1974</v>
      </c>
      <c r="O237" s="3" t="str">
        <f t="shared" si="18"/>
        <v>01/07/1974</v>
      </c>
      <c r="P237" s="1">
        <f>IF(RIGHT(C237,1)="K", LEFT(C237,LEN(C237)-1)*1000,C237)</f>
        <v>50428</v>
      </c>
      <c r="Q237" s="1" t="str">
        <f>IF(LEFT(D237,1)="M","Male","Female")</f>
        <v>Male</v>
      </c>
      <c r="R237" s="1" t="str">
        <f>TRIM(E237)</f>
        <v>Production Technician I</v>
      </c>
      <c r="S237" s="1" t="str">
        <f>IF(G237="", "To be updated", IF(OR(G237="IT&amp;IS", G237="ITIS"), "IT/IS", G237))</f>
        <v xml:space="preserve">Production       </v>
      </c>
      <c r="T237" s="2">
        <f t="shared" si="15"/>
        <v>17</v>
      </c>
      <c r="U237" s="1">
        <f t="shared" si="16"/>
        <v>3</v>
      </c>
      <c r="V237" s="1">
        <f t="shared" ca="1" si="19"/>
        <v>51</v>
      </c>
    </row>
    <row r="238" spans="1:22" x14ac:dyDescent="0.25">
      <c r="A238" s="1">
        <v>10285</v>
      </c>
      <c r="B238" s="3">
        <v>31229</v>
      </c>
      <c r="C238" s="1">
        <v>61422</v>
      </c>
      <c r="D238" s="1" t="s">
        <v>17</v>
      </c>
      <c r="E238" s="1" t="s">
        <v>11</v>
      </c>
      <c r="F238" s="1" t="s">
        <v>25</v>
      </c>
      <c r="G238" s="1" t="s">
        <v>13</v>
      </c>
      <c r="H238" s="1">
        <v>14</v>
      </c>
      <c r="I238" s="1">
        <v>3</v>
      </c>
      <c r="J238" s="1">
        <v>0</v>
      </c>
      <c r="M238" s="1" t="str">
        <f>SUBSTITUTE(TEXT(B238,"dd/mm/yyyy"),"-","/")</f>
        <v>01/07/1985</v>
      </c>
      <c r="N238" s="3" t="str">
        <f t="shared" si="17"/>
        <v>01/07/1985</v>
      </c>
      <c r="O238" s="3" t="str">
        <f t="shared" si="18"/>
        <v>01/07/1985</v>
      </c>
      <c r="P238" s="1">
        <f>IF(RIGHT(C238,1)="K", LEFT(C238,LEN(C238)-1)*1000,C238)</f>
        <v>61422</v>
      </c>
      <c r="Q238" s="1" t="str">
        <f>IF(LEFT(D238,1)="M","Male","Female")</f>
        <v>Female</v>
      </c>
      <c r="R238" s="1" t="str">
        <f>TRIM(E238)</f>
        <v>Production Technician I</v>
      </c>
      <c r="S238" s="1" t="str">
        <f>IF(G238="", "To be updated", IF(OR(G238="IT&amp;IS", G238="ITIS"), "IT/IS", G238))</f>
        <v xml:space="preserve">Production       </v>
      </c>
      <c r="T238" s="2">
        <f t="shared" si="15"/>
        <v>14</v>
      </c>
      <c r="U238" s="1">
        <f t="shared" si="16"/>
        <v>3</v>
      </c>
      <c r="V238" s="1">
        <f t="shared" ca="1" si="19"/>
        <v>40</v>
      </c>
    </row>
    <row r="239" spans="1:22" x14ac:dyDescent="0.25">
      <c r="A239" s="1">
        <v>10020</v>
      </c>
      <c r="B239" s="1" t="s">
        <v>209</v>
      </c>
      <c r="C239" s="1">
        <v>63353</v>
      </c>
      <c r="D239" s="1" t="s">
        <v>22</v>
      </c>
      <c r="E239" s="1" t="s">
        <v>11</v>
      </c>
      <c r="F239" s="1" t="s">
        <v>12</v>
      </c>
      <c r="G239" s="1" t="s">
        <v>13</v>
      </c>
      <c r="H239" s="1">
        <v>11</v>
      </c>
      <c r="I239" s="1">
        <v>5</v>
      </c>
      <c r="J239" s="1">
        <v>0</v>
      </c>
      <c r="M239" s="1" t="str">
        <f>SUBSTITUTE(TEXT(B239,"dd/mm/yyyy"),"-","/")</f>
        <v>01/28/1985</v>
      </c>
      <c r="N239" s="3">
        <f t="shared" si="17"/>
        <v>31075</v>
      </c>
      <c r="O239" s="3" t="str">
        <f t="shared" si="18"/>
        <v>28/01/1985</v>
      </c>
      <c r="P239" s="1">
        <f>IF(RIGHT(C239,1)="K", LEFT(C239,LEN(C239)-1)*1000,C239)</f>
        <v>63353</v>
      </c>
      <c r="Q239" s="1" t="str">
        <f>IF(LEFT(D239,1)="M","Male","Female")</f>
        <v>Male</v>
      </c>
      <c r="R239" s="1" t="str">
        <f>TRIM(E239)</f>
        <v>Production Technician I</v>
      </c>
      <c r="S239" s="1" t="str">
        <f>IF(G239="", "To be updated", IF(OR(G239="IT&amp;IS", G239="ITIS"), "IT/IS", G239))</f>
        <v xml:space="preserve">Production       </v>
      </c>
      <c r="T239" s="2">
        <f t="shared" si="15"/>
        <v>11</v>
      </c>
      <c r="U239" s="1">
        <f t="shared" si="16"/>
        <v>5</v>
      </c>
      <c r="V239" s="1">
        <f t="shared" ca="1" si="19"/>
        <v>40</v>
      </c>
    </row>
    <row r="240" spans="1:22" x14ac:dyDescent="0.25">
      <c r="A240" s="1">
        <v>10162</v>
      </c>
      <c r="B240" s="3">
        <v>29900</v>
      </c>
      <c r="C240" s="1">
        <v>89883</v>
      </c>
      <c r="D240" s="1" t="s">
        <v>17</v>
      </c>
      <c r="E240" s="1" t="s">
        <v>24</v>
      </c>
      <c r="F240" s="1" t="s">
        <v>12</v>
      </c>
      <c r="G240" s="1" t="s">
        <v>16</v>
      </c>
      <c r="H240" s="1">
        <v>12</v>
      </c>
      <c r="I240" s="1">
        <v>5</v>
      </c>
      <c r="J240" s="1">
        <v>6</v>
      </c>
      <c r="M240" s="1" t="str">
        <f>SUBSTITUTE(TEXT(B240,"dd/mm/yyyy"),"-","/")</f>
        <v>10/11/1981</v>
      </c>
      <c r="N240" s="3" t="str">
        <f t="shared" si="17"/>
        <v>10/11/1981</v>
      </c>
      <c r="O240" s="3" t="str">
        <f t="shared" si="18"/>
        <v>10/11/1981</v>
      </c>
      <c r="P240" s="1">
        <f>IF(RIGHT(C240,1)="K", LEFT(C240,LEN(C240)-1)*1000,C240)</f>
        <v>89883</v>
      </c>
      <c r="Q240" s="1" t="str">
        <f>IF(LEFT(D240,1)="M","Male","Female")</f>
        <v>Female</v>
      </c>
      <c r="R240" s="1" t="str">
        <f>TRIM(E240)</f>
        <v>Data Analyst</v>
      </c>
      <c r="S240" s="1" t="str">
        <f>IF(G240="", "To be updated", IF(OR(G240="IT&amp;IS", G240="ITIS"), "IT/IS", G240))</f>
        <v>IT/IS</v>
      </c>
      <c r="T240" s="2">
        <f t="shared" si="15"/>
        <v>12</v>
      </c>
      <c r="U240" s="1">
        <f t="shared" si="16"/>
        <v>5</v>
      </c>
      <c r="V240" s="1">
        <f t="shared" ca="1" si="19"/>
        <v>43</v>
      </c>
    </row>
    <row r="241" spans="1:22" x14ac:dyDescent="0.25">
      <c r="A241" s="1">
        <v>10149</v>
      </c>
      <c r="B241" s="1" t="s">
        <v>210</v>
      </c>
      <c r="C241" s="1">
        <v>120000</v>
      </c>
      <c r="D241" s="1" t="s">
        <v>17</v>
      </c>
      <c r="E241" s="1" t="s">
        <v>50</v>
      </c>
      <c r="F241" s="1" t="s">
        <v>15</v>
      </c>
      <c r="G241" s="1" t="s">
        <v>16</v>
      </c>
      <c r="H241" s="1">
        <v>11</v>
      </c>
      <c r="I241" s="1">
        <v>3</v>
      </c>
      <c r="J241" s="1">
        <v>7</v>
      </c>
      <c r="M241" s="1" t="str">
        <f>SUBSTITUTE(TEXT(B241,"dd/mm/yyyy"),"-","/")</f>
        <v>05/27/1973</v>
      </c>
      <c r="N241" s="3">
        <f t="shared" si="17"/>
        <v>26811</v>
      </c>
      <c r="O241" s="3" t="str">
        <f t="shared" si="18"/>
        <v>27/05/1973</v>
      </c>
      <c r="P241" s="1">
        <f>IF(RIGHT(C241,1)="K", LEFT(C241,LEN(C241)-1)*1000,C241)</f>
        <v>120000</v>
      </c>
      <c r="Q241" s="1" t="str">
        <f>IF(LEFT(D241,1)="M","Male","Female")</f>
        <v>Female</v>
      </c>
      <c r="R241" s="1" t="str">
        <f>TRIM(E241)</f>
        <v>Principal Data Architect</v>
      </c>
      <c r="S241" s="1" t="str">
        <f>IF(G241="", "To be updated", IF(OR(G241="IT&amp;IS", G241="ITIS"), "IT/IS", G241))</f>
        <v>IT/IS</v>
      </c>
      <c r="T241" s="2">
        <f t="shared" si="15"/>
        <v>11</v>
      </c>
      <c r="U241" s="1">
        <f t="shared" si="16"/>
        <v>3</v>
      </c>
      <c r="V241" s="1">
        <f t="shared" ca="1" si="19"/>
        <v>52</v>
      </c>
    </row>
    <row r="242" spans="1:22" x14ac:dyDescent="0.25">
      <c r="A242" s="1">
        <v>10086</v>
      </c>
      <c r="B242" s="1" t="s">
        <v>211</v>
      </c>
      <c r="C242" s="1">
        <v>150290</v>
      </c>
      <c r="D242" s="1" t="s">
        <v>17</v>
      </c>
      <c r="E242" s="1" t="s">
        <v>51</v>
      </c>
      <c r="F242" s="1" t="s">
        <v>12</v>
      </c>
      <c r="G242" s="1" t="s">
        <v>16</v>
      </c>
      <c r="H242" s="1">
        <v>12</v>
      </c>
      <c r="I242" s="1">
        <v>3</v>
      </c>
      <c r="J242" s="1">
        <v>5</v>
      </c>
      <c r="M242" s="1" t="str">
        <f>SUBSTITUTE(TEXT(B242,"dd/mm/yyyy"),"-","/")</f>
        <v>11/21/1972</v>
      </c>
      <c r="N242" s="3">
        <f t="shared" si="17"/>
        <v>26624</v>
      </c>
      <c r="O242" s="3" t="str">
        <f t="shared" si="18"/>
        <v>21/11/1972</v>
      </c>
      <c r="P242" s="1">
        <f>IF(RIGHT(C242,1)="K", LEFT(C242,LEN(C242)-1)*1000,C242)</f>
        <v>150290</v>
      </c>
      <c r="Q242" s="1" t="str">
        <f>IF(LEFT(D242,1)="M","Male","Female")</f>
        <v>Female</v>
      </c>
      <c r="R242" s="1" t="str">
        <f>TRIM(E242)</f>
        <v>Data Architect</v>
      </c>
      <c r="S242" s="1" t="str">
        <f>IF(G242="", "To be updated", IF(OR(G242="IT&amp;IS", G242="ITIS"), "IT/IS", G242))</f>
        <v>IT/IS</v>
      </c>
      <c r="T242" s="2">
        <f t="shared" si="15"/>
        <v>12</v>
      </c>
      <c r="U242" s="1">
        <f t="shared" si="16"/>
        <v>3</v>
      </c>
      <c r="V242" s="1">
        <f t="shared" ca="1" si="19"/>
        <v>52</v>
      </c>
    </row>
    <row r="243" spans="1:22" x14ac:dyDescent="0.25">
      <c r="A243" s="1">
        <v>10054</v>
      </c>
      <c r="B243" s="3">
        <v>27161</v>
      </c>
      <c r="C243" s="1">
        <v>60627</v>
      </c>
      <c r="D243" s="1" t="s">
        <v>17</v>
      </c>
      <c r="E243" s="1" t="s">
        <v>11</v>
      </c>
      <c r="F243" s="1" t="s">
        <v>12</v>
      </c>
      <c r="G243" s="1" t="s">
        <v>13</v>
      </c>
      <c r="H243" s="1">
        <v>11</v>
      </c>
      <c r="I243" s="1">
        <v>4</v>
      </c>
      <c r="J243" s="1">
        <v>0</v>
      </c>
      <c r="M243" s="1" t="str">
        <f>SUBSTITUTE(TEXT(B243,"dd/mm/yyyy"),"-","/")</f>
        <v>12/05/1974</v>
      </c>
      <c r="N243" s="3" t="str">
        <f t="shared" si="17"/>
        <v>12/05/1974</v>
      </c>
      <c r="O243" s="3" t="str">
        <f t="shared" si="18"/>
        <v>12/05/1974</v>
      </c>
      <c r="P243" s="1">
        <f>IF(RIGHT(C243,1)="K", LEFT(C243,LEN(C243)-1)*1000,C243)</f>
        <v>60627</v>
      </c>
      <c r="Q243" s="1" t="str">
        <f>IF(LEFT(D243,1)="M","Male","Female")</f>
        <v>Female</v>
      </c>
      <c r="R243" s="1" t="str">
        <f>TRIM(E243)</f>
        <v>Production Technician I</v>
      </c>
      <c r="S243" s="1" t="str">
        <f>IF(G243="", "To be updated", IF(OR(G243="IT&amp;IS", G243="ITIS"), "IT/IS", G243))</f>
        <v xml:space="preserve">Production       </v>
      </c>
      <c r="T243" s="2">
        <f t="shared" si="15"/>
        <v>11</v>
      </c>
      <c r="U243" s="1">
        <f t="shared" si="16"/>
        <v>4</v>
      </c>
      <c r="V243" s="1">
        <f t="shared" ca="1" si="19"/>
        <v>51</v>
      </c>
    </row>
    <row r="244" spans="1:22" x14ac:dyDescent="0.25">
      <c r="A244" s="1">
        <v>10065</v>
      </c>
      <c r="B244" s="1" t="s">
        <v>212</v>
      </c>
      <c r="C244" s="1">
        <v>53180</v>
      </c>
      <c r="D244" s="1" t="s">
        <v>22</v>
      </c>
      <c r="E244" s="1" t="s">
        <v>11</v>
      </c>
      <c r="F244" s="1" t="s">
        <v>15</v>
      </c>
      <c r="G244" s="1" t="s">
        <v>13</v>
      </c>
      <c r="H244" s="1">
        <v>11</v>
      </c>
      <c r="I244" s="1">
        <v>5</v>
      </c>
      <c r="J244" s="1">
        <v>0</v>
      </c>
      <c r="M244" s="1" t="str">
        <f>SUBSTITUTE(TEXT(B244,"dd/mm/yyyy"),"-","/")</f>
        <v>03/18/1987</v>
      </c>
      <c r="N244" s="3">
        <f t="shared" si="17"/>
        <v>31854</v>
      </c>
      <c r="O244" s="3" t="str">
        <f t="shared" si="18"/>
        <v>18/03/1987</v>
      </c>
      <c r="P244" s="1">
        <f>IF(RIGHT(C244,1)="K", LEFT(C244,LEN(C244)-1)*1000,C244)</f>
        <v>53180</v>
      </c>
      <c r="Q244" s="1" t="str">
        <f>IF(LEFT(D244,1)="M","Male","Female")</f>
        <v>Male</v>
      </c>
      <c r="R244" s="1" t="str">
        <f>TRIM(E244)</f>
        <v>Production Technician I</v>
      </c>
      <c r="S244" s="1" t="str">
        <f>IF(G244="", "To be updated", IF(OR(G244="IT&amp;IS", G244="ITIS"), "IT/IS", G244))</f>
        <v xml:space="preserve">Production       </v>
      </c>
      <c r="T244" s="2">
        <f t="shared" si="15"/>
        <v>11</v>
      </c>
      <c r="U244" s="1">
        <f t="shared" si="16"/>
        <v>5</v>
      </c>
      <c r="V244" s="1">
        <f t="shared" ca="1" si="19"/>
        <v>38</v>
      </c>
    </row>
    <row r="245" spans="1:22" x14ac:dyDescent="0.25">
      <c r="A245" s="1">
        <v>10198</v>
      </c>
      <c r="B245" s="3">
        <v>26788</v>
      </c>
      <c r="C245" s="1">
        <v>140920</v>
      </c>
      <c r="D245" s="1" t="s">
        <v>22</v>
      </c>
      <c r="E245" s="1" t="s">
        <v>52</v>
      </c>
      <c r="F245" s="1" t="s">
        <v>12</v>
      </c>
      <c r="G245" s="1" t="s">
        <v>16</v>
      </c>
      <c r="H245" s="1">
        <v>11</v>
      </c>
      <c r="I245" s="1">
        <v>5</v>
      </c>
      <c r="J245" s="1">
        <v>7</v>
      </c>
      <c r="M245" s="1" t="str">
        <f>SUBSTITUTE(TEXT(B245,"dd/mm/yyyy"),"-","/")</f>
        <v>04/05/1973</v>
      </c>
      <c r="N245" s="3" t="str">
        <f t="shared" si="17"/>
        <v>04/05/1973</v>
      </c>
      <c r="O245" s="3" t="str">
        <f t="shared" si="18"/>
        <v>04/05/1973</v>
      </c>
      <c r="P245" s="1">
        <f>IF(RIGHT(C245,1)="K", LEFT(C245,LEN(C245)-1)*1000,C245)</f>
        <v>140920</v>
      </c>
      <c r="Q245" s="1" t="str">
        <f>IF(LEFT(D245,1)="M","Male","Female")</f>
        <v>Male</v>
      </c>
      <c r="R245" s="1" t="str">
        <f>TRIM(E245)</f>
        <v>IT Manager - DB</v>
      </c>
      <c r="S245" s="1" t="str">
        <f>IF(G245="", "To be updated", IF(OR(G245="IT&amp;IS", G245="ITIS"), "IT/IS", G245))</f>
        <v>IT/IS</v>
      </c>
      <c r="T245" s="2">
        <f t="shared" si="15"/>
        <v>11</v>
      </c>
      <c r="U245" s="1">
        <f t="shared" si="16"/>
        <v>5</v>
      </c>
      <c r="V245" s="1">
        <f t="shared" ca="1" si="19"/>
        <v>52</v>
      </c>
    </row>
    <row r="246" spans="1:22" x14ac:dyDescent="0.25">
      <c r="A246" s="1">
        <v>10222</v>
      </c>
      <c r="B246" s="3">
        <v>23468</v>
      </c>
      <c r="C246" s="1">
        <v>148999</v>
      </c>
      <c r="D246" s="1" t="s">
        <v>22</v>
      </c>
      <c r="E246" s="1" t="s">
        <v>52</v>
      </c>
      <c r="F246" s="1" t="s">
        <v>15</v>
      </c>
      <c r="G246" s="1" t="s">
        <v>16</v>
      </c>
      <c r="H246" s="1">
        <v>18</v>
      </c>
      <c r="I246" s="1" t="s">
        <v>67</v>
      </c>
      <c r="J246" s="1">
        <v>6</v>
      </c>
      <c r="M246" s="1" t="str">
        <f>SUBSTITUTE(TEXT(B246,"dd/mm/yyyy"),"-","/")</f>
        <v>01/04/1964</v>
      </c>
      <c r="N246" s="3" t="str">
        <f t="shared" si="17"/>
        <v>01/04/1964</v>
      </c>
      <c r="O246" s="3" t="str">
        <f t="shared" si="18"/>
        <v>01/04/1964</v>
      </c>
      <c r="P246" s="1">
        <f>IF(RIGHT(C246,1)="K", LEFT(C246,LEN(C246)-1)*1000,C246)</f>
        <v>148999</v>
      </c>
      <c r="Q246" s="1" t="str">
        <f>IF(LEFT(D246,1)="M","Male","Female")</f>
        <v>Male</v>
      </c>
      <c r="R246" s="1" t="str">
        <f>TRIM(E246)</f>
        <v>IT Manager - DB</v>
      </c>
      <c r="S246" s="1" t="str">
        <f>IF(G246="", "To be updated", IF(OR(G246="IT&amp;IS", G246="ITIS"), "IT/IS", G246))</f>
        <v>IT/IS</v>
      </c>
      <c r="T246" s="2">
        <f t="shared" si="15"/>
        <v>18</v>
      </c>
      <c r="U246" s="1">
        <f t="shared" si="16"/>
        <v>1</v>
      </c>
      <c r="V246" s="1">
        <f t="shared" ca="1" si="19"/>
        <v>61</v>
      </c>
    </row>
    <row r="247" spans="1:22" x14ac:dyDescent="0.25">
      <c r="A247" s="1">
        <v>10126</v>
      </c>
      <c r="B247" s="1" t="s">
        <v>213</v>
      </c>
      <c r="C247" s="1">
        <v>86214</v>
      </c>
      <c r="D247" s="1" t="s">
        <v>17</v>
      </c>
      <c r="E247" s="1" t="s">
        <v>20</v>
      </c>
      <c r="F247" s="1" t="s">
        <v>12</v>
      </c>
      <c r="G247" s="1" t="s">
        <v>21</v>
      </c>
      <c r="H247" s="1">
        <v>15</v>
      </c>
      <c r="I247" s="1">
        <v>3</v>
      </c>
      <c r="J247" s="1">
        <v>6</v>
      </c>
      <c r="M247" s="1" t="str">
        <f>SUBSTITUTE(TEXT(B247,"dd/mm/yyyy"),"-","/")</f>
        <v>07/24/1986</v>
      </c>
      <c r="N247" s="3">
        <f t="shared" si="17"/>
        <v>31617</v>
      </c>
      <c r="O247" s="3" t="str">
        <f t="shared" si="18"/>
        <v>24/07/1986</v>
      </c>
      <c r="P247" s="1">
        <f>IF(RIGHT(C247,1)="K", LEFT(C247,LEN(C247)-1)*1000,C247)</f>
        <v>86214</v>
      </c>
      <c r="Q247" s="1" t="str">
        <f>IF(LEFT(D247,1)="M","Male","Female")</f>
        <v>Female</v>
      </c>
      <c r="R247" s="1" t="str">
        <f>TRIM(E247)</f>
        <v>Software Engineer</v>
      </c>
      <c r="S247" s="1" t="str">
        <f>IF(G247="", "To be updated", IF(OR(G247="IT&amp;IS", G247="ITIS"), "IT/IS", G247))</f>
        <v>Software Engineering</v>
      </c>
      <c r="T247" s="2">
        <f t="shared" si="15"/>
        <v>15</v>
      </c>
      <c r="U247" s="1">
        <f t="shared" si="16"/>
        <v>3</v>
      </c>
      <c r="V247" s="1">
        <f t="shared" ca="1" si="19"/>
        <v>39</v>
      </c>
    </row>
    <row r="248" spans="1:22" x14ac:dyDescent="0.25">
      <c r="A248" s="1">
        <v>10295</v>
      </c>
      <c r="B248" s="3">
        <v>24995</v>
      </c>
      <c r="C248" s="1">
        <v>47750</v>
      </c>
      <c r="D248" s="1" t="s">
        <v>17</v>
      </c>
      <c r="E248" s="1" t="s">
        <v>11</v>
      </c>
      <c r="F248" s="1" t="s">
        <v>12</v>
      </c>
      <c r="G248" s="1" t="s">
        <v>13</v>
      </c>
      <c r="H248" s="1">
        <v>11</v>
      </c>
      <c r="I248" s="1">
        <v>4</v>
      </c>
      <c r="J248" s="1">
        <v>0</v>
      </c>
      <c r="M248" s="1" t="str">
        <f>SUBSTITUTE(TEXT(B248,"dd/mm/yyyy"),"-","/")</f>
        <v>06/06/1968</v>
      </c>
      <c r="N248" s="3" t="str">
        <f t="shared" si="17"/>
        <v>06/06/1968</v>
      </c>
      <c r="O248" s="3" t="str">
        <f t="shared" si="18"/>
        <v>06/06/1968</v>
      </c>
      <c r="P248" s="1">
        <f>IF(RIGHT(C248,1)="K", LEFT(C248,LEN(C248)-1)*1000,C248)</f>
        <v>47750</v>
      </c>
      <c r="Q248" s="1" t="str">
        <f>IF(LEFT(D248,1)="M","Male","Female")</f>
        <v>Female</v>
      </c>
      <c r="R248" s="1" t="str">
        <f>TRIM(E248)</f>
        <v>Production Technician I</v>
      </c>
      <c r="S248" s="1" t="str">
        <f>IF(G248="", "To be updated", IF(OR(G248="IT&amp;IS", G248="ITIS"), "IT/IS", G248))</f>
        <v xml:space="preserve">Production       </v>
      </c>
      <c r="T248" s="2">
        <f t="shared" si="15"/>
        <v>11</v>
      </c>
      <c r="U248" s="1">
        <f t="shared" si="16"/>
        <v>4</v>
      </c>
      <c r="V248" s="1">
        <f t="shared" ca="1" si="19"/>
        <v>57</v>
      </c>
    </row>
    <row r="249" spans="1:22" x14ac:dyDescent="0.25">
      <c r="A249" s="1">
        <v>10260</v>
      </c>
      <c r="B249" s="1" t="s">
        <v>214</v>
      </c>
      <c r="C249" s="1">
        <v>46428</v>
      </c>
      <c r="D249" s="1" t="s">
        <v>22</v>
      </c>
      <c r="E249" s="1" t="s">
        <v>11</v>
      </c>
      <c r="F249" s="1" t="s">
        <v>15</v>
      </c>
      <c r="G249" s="1" t="s">
        <v>13</v>
      </c>
      <c r="H249" s="1">
        <v>14</v>
      </c>
      <c r="I249" s="1">
        <v>5</v>
      </c>
      <c r="J249" s="1">
        <v>0</v>
      </c>
      <c r="M249" s="1" t="str">
        <f>SUBSTITUTE(TEXT(B249,"dd/mm/yyyy"),"-","/")</f>
        <v>12/21/1974</v>
      </c>
      <c r="N249" s="3">
        <f t="shared" si="17"/>
        <v>27384</v>
      </c>
      <c r="O249" s="3" t="str">
        <f t="shared" si="18"/>
        <v>21/12/1974</v>
      </c>
      <c r="P249" s="1">
        <f>IF(RIGHT(C249,1)="K", LEFT(C249,LEN(C249)-1)*1000,C249)</f>
        <v>46428</v>
      </c>
      <c r="Q249" s="1" t="str">
        <f>IF(LEFT(D249,1)="M","Male","Female")</f>
        <v>Male</v>
      </c>
      <c r="R249" s="1" t="str">
        <f>TRIM(E249)</f>
        <v>Production Technician I</v>
      </c>
      <c r="S249" s="1" t="str">
        <f>IF(G249="", "To be updated", IF(OR(G249="IT&amp;IS", G249="ITIS"), "IT/IS", G249))</f>
        <v xml:space="preserve">Production       </v>
      </c>
      <c r="T249" s="2">
        <f t="shared" si="15"/>
        <v>14</v>
      </c>
      <c r="U249" s="1">
        <f t="shared" si="16"/>
        <v>5</v>
      </c>
      <c r="V249" s="1">
        <f t="shared" ca="1" si="19"/>
        <v>50</v>
      </c>
    </row>
    <row r="250" spans="1:22" x14ac:dyDescent="0.25">
      <c r="A250" s="1">
        <v>10233</v>
      </c>
      <c r="B250" s="1" t="s">
        <v>215</v>
      </c>
      <c r="C250" s="1">
        <v>57975</v>
      </c>
      <c r="D250" s="1" t="s">
        <v>22</v>
      </c>
      <c r="E250" s="1" t="s">
        <v>18</v>
      </c>
      <c r="F250" s="1" t="s">
        <v>12</v>
      </c>
      <c r="G250" s="1" t="s">
        <v>13</v>
      </c>
      <c r="H250" s="1">
        <v>14</v>
      </c>
      <c r="I250" s="1">
        <v>3</v>
      </c>
      <c r="J250" s="1">
        <v>0</v>
      </c>
      <c r="M250" s="1" t="str">
        <f>SUBSTITUTE(TEXT(B250,"dd/mm/yyyy"),"-","/")</f>
        <v>04/26/1986</v>
      </c>
      <c r="N250" s="3">
        <f t="shared" si="17"/>
        <v>31528</v>
      </c>
      <c r="O250" s="3" t="str">
        <f t="shared" si="18"/>
        <v>26/04/1986</v>
      </c>
      <c r="P250" s="1">
        <f>IF(RIGHT(C250,1)="K", LEFT(C250,LEN(C250)-1)*1000,C250)</f>
        <v>57975</v>
      </c>
      <c r="Q250" s="1" t="str">
        <f>IF(LEFT(D250,1)="M","Male","Female")</f>
        <v>Male</v>
      </c>
      <c r="R250" s="1" t="str">
        <f>TRIM(E250)</f>
        <v>Production Technician II</v>
      </c>
      <c r="S250" s="1" t="str">
        <f>IF(G250="", "To be updated", IF(OR(G250="IT&amp;IS", G250="ITIS"), "IT/IS", G250))</f>
        <v xml:space="preserve">Production       </v>
      </c>
      <c r="T250" s="2">
        <f t="shared" si="15"/>
        <v>14</v>
      </c>
      <c r="U250" s="1">
        <f t="shared" si="16"/>
        <v>3</v>
      </c>
      <c r="V250" s="1">
        <f t="shared" ca="1" si="19"/>
        <v>39</v>
      </c>
    </row>
    <row r="251" spans="1:22" x14ac:dyDescent="0.25">
      <c r="A251" s="1">
        <v>10229</v>
      </c>
      <c r="B251" s="1" t="s">
        <v>216</v>
      </c>
      <c r="C251" s="1">
        <v>88527</v>
      </c>
      <c r="D251" s="1" t="s">
        <v>22</v>
      </c>
      <c r="E251" s="1" t="s">
        <v>53</v>
      </c>
      <c r="F251" s="1" t="s">
        <v>15</v>
      </c>
      <c r="G251" s="1" t="s">
        <v>16</v>
      </c>
      <c r="H251" s="1">
        <v>14</v>
      </c>
      <c r="I251" s="1">
        <v>3</v>
      </c>
      <c r="J251" s="1">
        <v>5</v>
      </c>
      <c r="M251" s="1" t="str">
        <f>SUBSTITUTE(TEXT(B251,"dd/mm/yyyy"),"-","/")</f>
        <v>12/17/1987</v>
      </c>
      <c r="N251" s="3">
        <f t="shared" si="17"/>
        <v>32128</v>
      </c>
      <c r="O251" s="3" t="str">
        <f t="shared" si="18"/>
        <v>17/12/1987</v>
      </c>
      <c r="P251" s="1">
        <f>IF(RIGHT(C251,1)="K", LEFT(C251,LEN(C251)-1)*1000,C251)</f>
        <v>88527</v>
      </c>
      <c r="Q251" s="1" t="str">
        <f>IF(LEFT(D251,1)="M","Male","Female")</f>
        <v>Male</v>
      </c>
      <c r="R251" s="1" t="str">
        <f>TRIM(E251)</f>
        <v>Data Analyst</v>
      </c>
      <c r="S251" s="1" t="str">
        <f>IF(G251="", "To be updated", IF(OR(G251="IT&amp;IS", G251="ITIS"), "IT/IS", G251))</f>
        <v>IT/IS</v>
      </c>
      <c r="T251" s="2">
        <f t="shared" si="15"/>
        <v>14</v>
      </c>
      <c r="U251" s="1">
        <f t="shared" si="16"/>
        <v>3</v>
      </c>
      <c r="V251" s="1">
        <f t="shared" ca="1" si="19"/>
        <v>37</v>
      </c>
    </row>
    <row r="252" spans="1:22" x14ac:dyDescent="0.25">
      <c r="A252" s="1">
        <v>10169</v>
      </c>
      <c r="B252" s="3">
        <v>32423</v>
      </c>
      <c r="C252" s="1">
        <v>56147</v>
      </c>
      <c r="D252" s="1" t="s">
        <v>17</v>
      </c>
      <c r="E252" s="1" t="s">
        <v>11</v>
      </c>
      <c r="F252" s="1" t="s">
        <v>12</v>
      </c>
      <c r="G252" s="1" t="s">
        <v>13</v>
      </c>
      <c r="H252" s="1">
        <v>17</v>
      </c>
      <c r="I252" s="1">
        <v>3</v>
      </c>
      <c r="J252" s="1">
        <v>0</v>
      </c>
      <c r="M252" s="1" t="str">
        <f>SUBSTITUTE(TEXT(B252,"dd/mm/yyyy"),"-","/")</f>
        <v>07/10/1988</v>
      </c>
      <c r="N252" s="3" t="str">
        <f t="shared" si="17"/>
        <v>07/10/1988</v>
      </c>
      <c r="O252" s="3" t="str">
        <f t="shared" si="18"/>
        <v>07/10/1988</v>
      </c>
      <c r="P252" s="1">
        <f>IF(RIGHT(C252,1)="K", LEFT(C252,LEN(C252)-1)*1000,C252)</f>
        <v>56147</v>
      </c>
      <c r="Q252" s="1" t="str">
        <f>IF(LEFT(D252,1)="M","Male","Female")</f>
        <v>Female</v>
      </c>
      <c r="R252" s="1" t="str">
        <f>TRIM(E252)</f>
        <v>Production Technician I</v>
      </c>
      <c r="S252" s="1" t="str">
        <f>IF(G252="", "To be updated", IF(OR(G252="IT&amp;IS", G252="ITIS"), "IT/IS", G252))</f>
        <v xml:space="preserve">Production       </v>
      </c>
      <c r="T252" s="2">
        <f t="shared" si="15"/>
        <v>17</v>
      </c>
      <c r="U252" s="1">
        <f t="shared" si="16"/>
        <v>3</v>
      </c>
      <c r="V252" s="1">
        <f t="shared" ca="1" si="19"/>
        <v>36</v>
      </c>
    </row>
    <row r="253" spans="1:22" x14ac:dyDescent="0.25">
      <c r="A253" s="1">
        <v>10071</v>
      </c>
      <c r="B253" s="3">
        <v>27670</v>
      </c>
      <c r="C253" s="1">
        <v>50923</v>
      </c>
      <c r="D253" s="1" t="s">
        <v>17</v>
      </c>
      <c r="E253" s="1" t="s">
        <v>11</v>
      </c>
      <c r="F253" s="1" t="s">
        <v>12</v>
      </c>
      <c r="G253" s="1" t="s">
        <v>13</v>
      </c>
      <c r="H253" s="1">
        <v>21</v>
      </c>
      <c r="I253" s="1">
        <v>5</v>
      </c>
      <c r="J253" s="1">
        <v>0</v>
      </c>
      <c r="M253" s="1" t="str">
        <f>SUBSTITUTE(TEXT(B253,"dd/mm/yyyy"),"-","/")</f>
        <v>03/10/1975</v>
      </c>
      <c r="N253" s="3" t="str">
        <f t="shared" si="17"/>
        <v>03/10/1975</v>
      </c>
      <c r="O253" s="3" t="str">
        <f t="shared" si="18"/>
        <v>03/10/1975</v>
      </c>
      <c r="P253" s="1">
        <f>IF(RIGHT(C253,1)="K", LEFT(C253,LEN(C253)-1)*1000,C253)</f>
        <v>50923</v>
      </c>
      <c r="Q253" s="1" t="str">
        <f>IF(LEFT(D253,1)="M","Male","Female")</f>
        <v>Female</v>
      </c>
      <c r="R253" s="1" t="str">
        <f>TRIM(E253)</f>
        <v>Production Technician I</v>
      </c>
      <c r="S253" s="1" t="str">
        <f>IF(G253="", "To be updated", IF(OR(G253="IT&amp;IS", G253="ITIS"), "IT/IS", G253))</f>
        <v xml:space="preserve">Production       </v>
      </c>
      <c r="T253" s="2">
        <f t="shared" si="15"/>
        <v>21</v>
      </c>
      <c r="U253" s="1">
        <f t="shared" si="16"/>
        <v>5</v>
      </c>
      <c r="V253" s="1">
        <f t="shared" ca="1" si="19"/>
        <v>49</v>
      </c>
    </row>
    <row r="254" spans="1:22" x14ac:dyDescent="0.25">
      <c r="A254" s="1">
        <v>10179</v>
      </c>
      <c r="B254" s="1" t="s">
        <v>217</v>
      </c>
      <c r="C254" s="1">
        <v>50750</v>
      </c>
      <c r="D254" s="1" t="s">
        <v>17</v>
      </c>
      <c r="E254" s="1" t="s">
        <v>41</v>
      </c>
      <c r="F254" s="1" t="s">
        <v>12</v>
      </c>
      <c r="G254" s="1" t="s">
        <v>16</v>
      </c>
      <c r="H254" s="1"/>
      <c r="I254" s="1">
        <v>3</v>
      </c>
      <c r="J254" s="1">
        <v>6</v>
      </c>
      <c r="M254" s="1" t="str">
        <f>SUBSTITUTE(TEXT(B254,"dd/mm/yyyy"),"-","/")</f>
        <v>04/14/1981</v>
      </c>
      <c r="N254" s="3">
        <f t="shared" si="17"/>
        <v>29690</v>
      </c>
      <c r="O254" s="3" t="str">
        <f t="shared" si="18"/>
        <v>14/04/1981</v>
      </c>
      <c r="P254" s="1">
        <f>IF(RIGHT(C254,1)="K", LEFT(C254,LEN(C254)-1)*1000,C254)</f>
        <v>50750</v>
      </c>
      <c r="Q254" s="1" t="str">
        <f>IF(LEFT(D254,1)="M","Male","Female")</f>
        <v>Female</v>
      </c>
      <c r="R254" s="1" t="str">
        <f>TRIM(E254)</f>
        <v>Network Engineer</v>
      </c>
      <c r="S254" s="1" t="str">
        <f>IF(G254="", "To be updated", IF(OR(G254="IT&amp;IS", G254="ITIS"), "IT/IS", G254))</f>
        <v>IT/IS</v>
      </c>
      <c r="T254" s="2">
        <f t="shared" si="15"/>
        <v>15.260586319218241</v>
      </c>
      <c r="U254" s="1">
        <f t="shared" si="16"/>
        <v>3</v>
      </c>
      <c r="V254" s="1">
        <f t="shared" ca="1" si="19"/>
        <v>44</v>
      </c>
    </row>
    <row r="255" spans="1:22" x14ac:dyDescent="0.25">
      <c r="A255" s="1">
        <v>10091</v>
      </c>
      <c r="B255" s="1" t="s">
        <v>218</v>
      </c>
      <c r="C255" s="1">
        <v>52087</v>
      </c>
      <c r="D255" s="1" t="s">
        <v>17</v>
      </c>
      <c r="E255" s="1" t="s">
        <v>11</v>
      </c>
      <c r="F255" s="1" t="s">
        <v>12</v>
      </c>
      <c r="G255" s="1" t="s">
        <v>13</v>
      </c>
      <c r="H255" s="1">
        <v>25</v>
      </c>
      <c r="I255" s="1">
        <v>4</v>
      </c>
      <c r="J255" s="1">
        <v>0</v>
      </c>
      <c r="M255" s="1" t="str">
        <f>SUBSTITUTE(TEXT(B255,"dd/mm/yyyy"),"-","/")</f>
        <v>08/24/1985</v>
      </c>
      <c r="N255" s="3">
        <f t="shared" si="17"/>
        <v>31283</v>
      </c>
      <c r="O255" s="3" t="str">
        <f t="shared" si="18"/>
        <v>24/08/1985</v>
      </c>
      <c r="P255" s="1">
        <f>IF(RIGHT(C255,1)="K", LEFT(C255,LEN(C255)-1)*1000,C255)</f>
        <v>52087</v>
      </c>
      <c r="Q255" s="1" t="str">
        <f>IF(LEFT(D255,1)="M","Male","Female")</f>
        <v>Female</v>
      </c>
      <c r="R255" s="1" t="str">
        <f>TRIM(E255)</f>
        <v>Production Technician I</v>
      </c>
      <c r="S255" s="1" t="str">
        <f>IF(G255="", "To be updated", IF(OR(G255="IT&amp;IS", G255="ITIS"), "IT/IS", G255))</f>
        <v xml:space="preserve">Production       </v>
      </c>
      <c r="T255" s="2">
        <f t="shared" si="15"/>
        <v>25</v>
      </c>
      <c r="U255" s="1">
        <f t="shared" si="16"/>
        <v>4</v>
      </c>
      <c r="V255" s="1">
        <f t="shared" ca="1" si="19"/>
        <v>40</v>
      </c>
    </row>
    <row r="256" spans="1:22" x14ac:dyDescent="0.25">
      <c r="A256" s="1">
        <v>10178</v>
      </c>
      <c r="B256" s="3">
        <v>25782</v>
      </c>
      <c r="C256" s="1">
        <v>87826</v>
      </c>
      <c r="D256" s="1" t="s">
        <v>22</v>
      </c>
      <c r="E256" s="1" t="s">
        <v>24</v>
      </c>
      <c r="F256" s="1" t="s">
        <v>12</v>
      </c>
      <c r="G256" s="1" t="s">
        <v>16</v>
      </c>
      <c r="H256" s="1">
        <v>15</v>
      </c>
      <c r="I256" s="1">
        <v>3</v>
      </c>
      <c r="J256" s="1">
        <v>7</v>
      </c>
      <c r="M256" s="1" t="str">
        <f>SUBSTITUTE(TEXT(B256,"dd/mm/yyyy"),"-","/")</f>
        <v>02/08/1970</v>
      </c>
      <c r="N256" s="3" t="str">
        <f t="shared" si="17"/>
        <v>02/08/1970</v>
      </c>
      <c r="O256" s="3" t="str">
        <f t="shared" si="18"/>
        <v>02/08/1970</v>
      </c>
      <c r="P256" s="1">
        <f>IF(RIGHT(C256,1)="K", LEFT(C256,LEN(C256)-1)*1000,C256)</f>
        <v>87826</v>
      </c>
      <c r="Q256" s="1" t="str">
        <f>IF(LEFT(D256,1)="M","Male","Female")</f>
        <v>Male</v>
      </c>
      <c r="R256" s="1" t="str">
        <f>TRIM(E256)</f>
        <v>Data Analyst</v>
      </c>
      <c r="S256" s="1" t="str">
        <f>IF(G256="", "To be updated", IF(OR(G256="IT&amp;IS", G256="ITIS"), "IT/IS", G256))</f>
        <v>IT/IS</v>
      </c>
      <c r="T256" s="2">
        <f t="shared" si="15"/>
        <v>15</v>
      </c>
      <c r="U256" s="1">
        <f t="shared" si="16"/>
        <v>3</v>
      </c>
      <c r="V256" s="1">
        <f t="shared" ca="1" si="19"/>
        <v>55</v>
      </c>
    </row>
    <row r="257" spans="1:22" x14ac:dyDescent="0.25">
      <c r="A257" s="1">
        <v>10039</v>
      </c>
      <c r="B257" s="1" t="s">
        <v>219</v>
      </c>
      <c r="C257" s="1">
        <v>51920</v>
      </c>
      <c r="D257" s="1" t="s">
        <v>17</v>
      </c>
      <c r="E257" s="1" t="s">
        <v>44</v>
      </c>
      <c r="F257" s="1" t="s">
        <v>12</v>
      </c>
      <c r="G257" s="1" t="s">
        <v>29</v>
      </c>
      <c r="H257" s="1">
        <v>19</v>
      </c>
      <c r="I257" s="1">
        <v>3</v>
      </c>
      <c r="J257" s="1">
        <v>5</v>
      </c>
      <c r="M257" s="1" t="str">
        <f>SUBSTITUTE(TEXT(B257,"dd/mm/yyyy"),"-","/")</f>
        <v>05/19/1988</v>
      </c>
      <c r="N257" s="3">
        <f t="shared" si="17"/>
        <v>32282</v>
      </c>
      <c r="O257" s="3" t="str">
        <f t="shared" si="18"/>
        <v>19/05/1988</v>
      </c>
      <c r="P257" s="1">
        <f>IF(RIGHT(C257,1)="K", LEFT(C257,LEN(C257)-1)*1000,C257)</f>
        <v>51920</v>
      </c>
      <c r="Q257" s="1" t="str">
        <f>IF(LEFT(D257,1)="M","Male","Female")</f>
        <v>Female</v>
      </c>
      <c r="R257" s="1" t="str">
        <f>TRIM(E257)</f>
        <v>Administrative Assistant</v>
      </c>
      <c r="S257" s="1" t="str">
        <f>IF(G257="", "To be updated", IF(OR(G257="IT&amp;IS", G257="ITIS"), "IT/IS", G257))</f>
        <v>Admin Offices</v>
      </c>
      <c r="T257" s="2">
        <f t="shared" si="15"/>
        <v>19</v>
      </c>
      <c r="U257" s="1">
        <f t="shared" si="16"/>
        <v>3</v>
      </c>
      <c r="V257" s="1">
        <f t="shared" ca="1" si="19"/>
        <v>37</v>
      </c>
    </row>
    <row r="258" spans="1:22" x14ac:dyDescent="0.25">
      <c r="A258" s="1">
        <v>10095</v>
      </c>
      <c r="B258" s="1" t="s">
        <v>220</v>
      </c>
      <c r="C258" s="1">
        <v>63878</v>
      </c>
      <c r="D258" s="1" t="s">
        <v>17</v>
      </c>
      <c r="E258" s="1" t="s">
        <v>18</v>
      </c>
      <c r="F258" s="1" t="s">
        <v>15</v>
      </c>
      <c r="G258" s="1" t="s">
        <v>13</v>
      </c>
      <c r="H258" s="1">
        <v>12</v>
      </c>
      <c r="I258" s="1">
        <v>4</v>
      </c>
      <c r="J258" s="1">
        <v>0</v>
      </c>
      <c r="M258" s="1" t="str">
        <f>SUBSTITUTE(TEXT(B258,"dd/mm/yyyy"),"-","/")</f>
        <v>11/25/1987</v>
      </c>
      <c r="N258" s="3">
        <f t="shared" si="17"/>
        <v>32106</v>
      </c>
      <c r="O258" s="3" t="str">
        <f t="shared" si="18"/>
        <v>25/11/1987</v>
      </c>
      <c r="P258" s="1">
        <f>IF(RIGHT(C258,1)="K", LEFT(C258,LEN(C258)-1)*1000,C258)</f>
        <v>63878</v>
      </c>
      <c r="Q258" s="1" t="str">
        <f>IF(LEFT(D258,1)="M","Male","Female")</f>
        <v>Female</v>
      </c>
      <c r="R258" s="1" t="str">
        <f>TRIM(E258)</f>
        <v>Production Technician II</v>
      </c>
      <c r="S258" s="1" t="str">
        <f>IF(G258="", "To be updated", IF(OR(G258="IT&amp;IS", G258="ITIS"), "IT/IS", G258))</f>
        <v xml:space="preserve">Production       </v>
      </c>
      <c r="T258" s="2">
        <f t="shared" ref="T258:T312" si="20">IF(ISBLANK(H258),AVERAGE($H$2:$H$312),H258)</f>
        <v>12</v>
      </c>
      <c r="U258" s="1">
        <f t="shared" ref="U258:U312" si="21">IF(I258="High",MAX($I$2:$I$312),IF(I258="Low",MIN($I$2:$I$312),I258))</f>
        <v>4</v>
      </c>
      <c r="V258" s="1">
        <f t="shared" ca="1" si="19"/>
        <v>37</v>
      </c>
    </row>
    <row r="259" spans="1:22" x14ac:dyDescent="0.25">
      <c r="A259" s="1">
        <v>10027</v>
      </c>
      <c r="B259" s="1" t="s">
        <v>221</v>
      </c>
      <c r="C259" s="1">
        <v>60656</v>
      </c>
      <c r="D259" s="1" t="s">
        <v>22</v>
      </c>
      <c r="E259" s="1" t="s">
        <v>18</v>
      </c>
      <c r="F259" s="1" t="s">
        <v>12</v>
      </c>
      <c r="G259" s="1" t="s">
        <v>13</v>
      </c>
      <c r="H259" s="1">
        <v>11</v>
      </c>
      <c r="I259" s="1">
        <v>3</v>
      </c>
      <c r="J259" s="1">
        <v>0</v>
      </c>
      <c r="M259" s="1" t="str">
        <f>SUBSTITUTE(TEXT(B259,"dd/mm/yyyy"),"-","/")</f>
        <v>10/30/1963</v>
      </c>
      <c r="N259" s="3">
        <f t="shared" ref="N259:N312" si="22">IF(VALUE(MID(M259,4,2))&gt;12,DATE(RIGHT(M259,4),LEFT(M259,2),MID(M259,4,2)),M259)</f>
        <v>23314</v>
      </c>
      <c r="O259" s="3" t="str">
        <f t="shared" ref="O259:O312" si="23">SUBSTITUTE(TEXT(N259,"dd/mm/yyyy"),"-","/")</f>
        <v>30/10/1963</v>
      </c>
      <c r="P259" s="1">
        <f>IF(RIGHT(C259,1)="K", LEFT(C259,LEN(C259)-1)*1000,C259)</f>
        <v>60656</v>
      </c>
      <c r="Q259" s="1" t="str">
        <f>IF(LEFT(D259,1)="M","Male","Female")</f>
        <v>Male</v>
      </c>
      <c r="R259" s="1" t="str">
        <f>TRIM(E259)</f>
        <v>Production Technician II</v>
      </c>
      <c r="S259" s="1" t="str">
        <f>IF(G259="", "To be updated", IF(OR(G259="IT&amp;IS", G259="ITIS"), "IT/IS", G259))</f>
        <v xml:space="preserve">Production       </v>
      </c>
      <c r="T259" s="2">
        <f t="shared" si="20"/>
        <v>11</v>
      </c>
      <c r="U259" s="1">
        <f t="shared" si="21"/>
        <v>3</v>
      </c>
      <c r="V259" s="1">
        <f t="shared" ref="V259:V312" ca="1" si="24">DATEDIF(O259,TODAY(),"Y")</f>
        <v>61</v>
      </c>
    </row>
    <row r="260" spans="1:22" x14ac:dyDescent="0.25">
      <c r="A260" s="1">
        <v>10291</v>
      </c>
      <c r="B260" s="1" t="s">
        <v>222</v>
      </c>
      <c r="C260" s="1">
        <v>72992</v>
      </c>
      <c r="D260" s="1" t="s">
        <v>22</v>
      </c>
      <c r="E260" s="1" t="s">
        <v>38</v>
      </c>
      <c r="F260" s="1" t="s">
        <v>12</v>
      </c>
      <c r="G260" s="1" t="s">
        <v>33</v>
      </c>
      <c r="H260" s="1">
        <v>14</v>
      </c>
      <c r="I260" s="1">
        <v>4</v>
      </c>
      <c r="J260" s="1">
        <v>0</v>
      </c>
      <c r="M260" s="1" t="str">
        <f>SUBSTITUTE(TEXT(B260,"dd/mm/yyyy"),"-","/")</f>
        <v>08/16/1984</v>
      </c>
      <c r="N260" s="3">
        <f t="shared" si="22"/>
        <v>30910</v>
      </c>
      <c r="O260" s="3" t="str">
        <f t="shared" si="23"/>
        <v>16/08/1984</v>
      </c>
      <c r="P260" s="1">
        <f>IF(RIGHT(C260,1)="K", LEFT(C260,LEN(C260)-1)*1000,C260)</f>
        <v>72992</v>
      </c>
      <c r="Q260" s="1" t="str">
        <f>IF(LEFT(D260,1)="M","Male","Female")</f>
        <v>Male</v>
      </c>
      <c r="R260" s="1" t="str">
        <f>TRIM(E260)</f>
        <v>Sales Manager</v>
      </c>
      <c r="S260" s="1" t="str">
        <f>IF(G260="", "To be updated", IF(OR(G260="IT&amp;IS", G260="ITIS"), "IT/IS", G260))</f>
        <v>Sales</v>
      </c>
      <c r="T260" s="2">
        <f t="shared" si="20"/>
        <v>14</v>
      </c>
      <c r="U260" s="1">
        <f t="shared" si="21"/>
        <v>4</v>
      </c>
      <c r="V260" s="1">
        <f t="shared" ca="1" si="24"/>
        <v>41</v>
      </c>
    </row>
    <row r="261" spans="1:22" x14ac:dyDescent="0.25">
      <c r="A261" s="1">
        <v>10153</v>
      </c>
      <c r="B261" s="1" t="s">
        <v>171</v>
      </c>
      <c r="C261" s="1">
        <v>55000</v>
      </c>
      <c r="D261" s="1" t="s">
        <v>17</v>
      </c>
      <c r="E261" s="1" t="s">
        <v>44</v>
      </c>
      <c r="F261" s="1" t="s">
        <v>15</v>
      </c>
      <c r="G261" s="1" t="s">
        <v>29</v>
      </c>
      <c r="H261" s="1">
        <v>12</v>
      </c>
      <c r="I261" s="1">
        <v>4</v>
      </c>
      <c r="J261" s="1">
        <v>4</v>
      </c>
      <c r="M261" s="1" t="str">
        <f>SUBSTITUTE(TEXT(B261,"dd/mm/yyyy"),"-","/")</f>
        <v>06/14/1987</v>
      </c>
      <c r="N261" s="3">
        <f t="shared" si="22"/>
        <v>31942</v>
      </c>
      <c r="O261" s="3" t="str">
        <f t="shared" si="23"/>
        <v>14/06/1987</v>
      </c>
      <c r="P261" s="1">
        <f>IF(RIGHT(C261,1)="K", LEFT(C261,LEN(C261)-1)*1000,C261)</f>
        <v>55000</v>
      </c>
      <c r="Q261" s="1" t="str">
        <f>IF(LEFT(D261,1)="M","Male","Female")</f>
        <v>Female</v>
      </c>
      <c r="R261" s="1" t="str">
        <f>TRIM(E261)</f>
        <v>Administrative Assistant</v>
      </c>
      <c r="S261" s="1" t="str">
        <f>IF(G261="", "To be updated", IF(OR(G261="IT&amp;IS", G261="ITIS"), "IT/IS", G261))</f>
        <v>Admin Offices</v>
      </c>
      <c r="T261" s="2">
        <f t="shared" si="20"/>
        <v>12</v>
      </c>
      <c r="U261" s="1">
        <f t="shared" si="21"/>
        <v>4</v>
      </c>
      <c r="V261" s="1">
        <f t="shared" ca="1" si="24"/>
        <v>38</v>
      </c>
    </row>
    <row r="262" spans="1:22" x14ac:dyDescent="0.25">
      <c r="A262" s="1">
        <v>10157</v>
      </c>
      <c r="B262" s="3">
        <v>23775</v>
      </c>
      <c r="C262" s="1">
        <v>58939</v>
      </c>
      <c r="D262" s="1" t="s">
        <v>17</v>
      </c>
      <c r="E262" s="1" t="s">
        <v>11</v>
      </c>
      <c r="F262" s="1" t="s">
        <v>12</v>
      </c>
      <c r="G262" s="1" t="s">
        <v>13</v>
      </c>
      <c r="H262" s="1">
        <v>12</v>
      </c>
      <c r="I262" s="1">
        <v>3</v>
      </c>
      <c r="J262" s="1">
        <v>0</v>
      </c>
      <c r="M262" s="1" t="str">
        <f>SUBSTITUTE(TEXT(B262,"dd/mm/yyyy"),"-","/")</f>
        <v>02/02/1965</v>
      </c>
      <c r="N262" s="3" t="str">
        <f t="shared" si="22"/>
        <v>02/02/1965</v>
      </c>
      <c r="O262" s="3" t="str">
        <f t="shared" si="23"/>
        <v>02/02/1965</v>
      </c>
      <c r="P262" s="1">
        <f>IF(RIGHT(C262,1)="K", LEFT(C262,LEN(C262)-1)*1000,C262)</f>
        <v>58939</v>
      </c>
      <c r="Q262" s="1" t="str">
        <f>IF(LEFT(D262,1)="M","Male","Female")</f>
        <v>Female</v>
      </c>
      <c r="R262" s="1" t="str">
        <f>TRIM(E262)</f>
        <v>Production Technician I</v>
      </c>
      <c r="S262" s="1" t="str">
        <f>IF(G262="", "To be updated", IF(OR(G262="IT&amp;IS", G262="ITIS"), "IT/IS", G262))</f>
        <v xml:space="preserve">Production       </v>
      </c>
      <c r="T262" s="2">
        <f t="shared" si="20"/>
        <v>12</v>
      </c>
      <c r="U262" s="1">
        <f t="shared" si="21"/>
        <v>3</v>
      </c>
      <c r="V262" s="1">
        <f t="shared" ca="1" si="24"/>
        <v>60</v>
      </c>
    </row>
    <row r="263" spans="1:22" x14ac:dyDescent="0.25">
      <c r="A263" s="1">
        <v>10119</v>
      </c>
      <c r="B263" s="3">
        <v>27001</v>
      </c>
      <c r="C263" s="1">
        <v>66593</v>
      </c>
      <c r="D263" s="1" t="s">
        <v>17</v>
      </c>
      <c r="E263" s="1" t="s">
        <v>23</v>
      </c>
      <c r="F263" s="1" t="s">
        <v>12</v>
      </c>
      <c r="G263" s="1" t="s">
        <v>16</v>
      </c>
      <c r="H263" s="1">
        <v>11</v>
      </c>
      <c r="I263" s="1">
        <v>3</v>
      </c>
      <c r="J263" s="1">
        <v>5</v>
      </c>
      <c r="M263" s="1" t="str">
        <f>SUBSTITUTE(TEXT(B263,"dd/mm/yyyy"),"-","/")</f>
        <v>03/12/1973</v>
      </c>
      <c r="N263" s="3" t="str">
        <f t="shared" si="22"/>
        <v>03/12/1973</v>
      </c>
      <c r="O263" s="3" t="str">
        <f t="shared" si="23"/>
        <v>03/12/1973</v>
      </c>
      <c r="P263" s="1">
        <f>IF(RIGHT(C263,1)="K", LEFT(C263,LEN(C263)-1)*1000,C263)</f>
        <v>66593</v>
      </c>
      <c r="Q263" s="1" t="str">
        <f>IF(LEFT(D263,1)="M","Male","Female")</f>
        <v>Female</v>
      </c>
      <c r="R263" s="1" t="str">
        <f>TRIM(E263)</f>
        <v>IT Support</v>
      </c>
      <c r="S263" s="1" t="str">
        <f>IF(G263="", "To be updated", IF(OR(G263="IT&amp;IS", G263="ITIS"), "IT/IS", G263))</f>
        <v>IT/IS</v>
      </c>
      <c r="T263" s="2">
        <f t="shared" si="20"/>
        <v>11</v>
      </c>
      <c r="U263" s="1">
        <f t="shared" si="21"/>
        <v>3</v>
      </c>
      <c r="V263" s="1">
        <f t="shared" ca="1" si="24"/>
        <v>51</v>
      </c>
    </row>
    <row r="264" spans="1:22" x14ac:dyDescent="0.25">
      <c r="A264" s="1">
        <v>10180</v>
      </c>
      <c r="B264" s="3">
        <v>30561</v>
      </c>
      <c r="C264" s="1">
        <v>87565</v>
      </c>
      <c r="D264" s="1" t="s">
        <v>10</v>
      </c>
      <c r="E264" s="1" t="s">
        <v>37</v>
      </c>
      <c r="F264" s="1" t="s">
        <v>12</v>
      </c>
      <c r="G264" s="1" t="s">
        <v>16</v>
      </c>
      <c r="H264" s="1">
        <v>23</v>
      </c>
      <c r="I264" s="1">
        <v>4</v>
      </c>
      <c r="J264" s="1">
        <v>5</v>
      </c>
      <c r="M264" s="1" t="str">
        <f>SUBSTITUTE(TEXT(B264,"dd/mm/yyyy"),"-","/")</f>
        <v>02/09/1983</v>
      </c>
      <c r="N264" s="3" t="str">
        <f t="shared" si="22"/>
        <v>02/09/1983</v>
      </c>
      <c r="O264" s="3" t="str">
        <f t="shared" si="23"/>
        <v>02/09/1983</v>
      </c>
      <c r="P264" s="1">
        <f>IF(RIGHT(C264,1)="K", LEFT(C264,LEN(C264)-1)*1000,C264)</f>
        <v>87565</v>
      </c>
      <c r="Q264" s="1" t="str">
        <f>IF(LEFT(D264,1)="M","Male","Female")</f>
        <v>Male</v>
      </c>
      <c r="R264" s="1" t="str">
        <f>TRIM(E264)</f>
        <v>Sr. Network Engineer</v>
      </c>
      <c r="S264" s="1" t="str">
        <f>IF(G264="", "To be updated", IF(OR(G264="IT&amp;IS", G264="ITIS"), "IT/IS", G264))</f>
        <v>IT/IS</v>
      </c>
      <c r="T264" s="2">
        <f t="shared" si="20"/>
        <v>23</v>
      </c>
      <c r="U264" s="1">
        <f t="shared" si="21"/>
        <v>4</v>
      </c>
      <c r="V264" s="1">
        <f t="shared" ca="1" si="24"/>
        <v>42</v>
      </c>
    </row>
    <row r="265" spans="1:22" x14ac:dyDescent="0.25">
      <c r="A265" s="1">
        <v>10302</v>
      </c>
      <c r="B265" s="1" t="s">
        <v>223</v>
      </c>
      <c r="C265" s="1">
        <v>64021</v>
      </c>
      <c r="D265" s="1" t="s">
        <v>17</v>
      </c>
      <c r="E265" s="1" t="s">
        <v>11</v>
      </c>
      <c r="F265" s="1" t="s">
        <v>12</v>
      </c>
      <c r="G265" s="1" t="s">
        <v>13</v>
      </c>
      <c r="H265" s="1">
        <v>13</v>
      </c>
      <c r="I265" s="1">
        <v>2</v>
      </c>
      <c r="J265" s="1">
        <v>1</v>
      </c>
      <c r="M265" s="1" t="str">
        <f>SUBSTITUTE(TEXT(B265,"dd/mm/yyyy"),"-","/")</f>
        <v>07/20/1968</v>
      </c>
      <c r="N265" s="3">
        <f t="shared" si="22"/>
        <v>25039</v>
      </c>
      <c r="O265" s="3" t="str">
        <f t="shared" si="23"/>
        <v>20/07/1968</v>
      </c>
      <c r="P265" s="1">
        <f>IF(RIGHT(C265,1)="K", LEFT(C265,LEN(C265)-1)*1000,C265)</f>
        <v>64021</v>
      </c>
      <c r="Q265" s="1" t="str">
        <f>IF(LEFT(D265,1)="M","Male","Female")</f>
        <v>Female</v>
      </c>
      <c r="R265" s="1" t="str">
        <f>TRIM(E265)</f>
        <v>Production Technician I</v>
      </c>
      <c r="S265" s="1" t="str">
        <f>IF(G265="", "To be updated", IF(OR(G265="IT&amp;IS", G265="ITIS"), "IT/IS", G265))</f>
        <v xml:space="preserve">Production       </v>
      </c>
      <c r="T265" s="2">
        <f t="shared" si="20"/>
        <v>13</v>
      </c>
      <c r="U265" s="1">
        <f t="shared" si="21"/>
        <v>2</v>
      </c>
      <c r="V265" s="1">
        <f t="shared" ca="1" si="24"/>
        <v>57</v>
      </c>
    </row>
    <row r="266" spans="1:22" x14ac:dyDescent="0.25">
      <c r="A266" s="1">
        <v>10090</v>
      </c>
      <c r="B266" s="1" t="s">
        <v>224</v>
      </c>
      <c r="C266" s="1">
        <v>65714</v>
      </c>
      <c r="D266" s="1" t="s">
        <v>17</v>
      </c>
      <c r="E266" s="1" t="s">
        <v>30</v>
      </c>
      <c r="F266" s="1" t="s">
        <v>12</v>
      </c>
      <c r="G266" s="1" t="s">
        <v>13</v>
      </c>
      <c r="H266" s="1">
        <v>22</v>
      </c>
      <c r="I266" s="1">
        <v>5</v>
      </c>
      <c r="J266" s="1">
        <v>0</v>
      </c>
      <c r="M266" s="1" t="str">
        <f>SUBSTITUTE(TEXT(B266,"dd/mm/yyyy"),"-","/")</f>
        <v>09/30/1975</v>
      </c>
      <c r="N266" s="3">
        <f t="shared" si="22"/>
        <v>27667</v>
      </c>
      <c r="O266" s="3" t="str">
        <f t="shared" si="23"/>
        <v>30/09/1975</v>
      </c>
      <c r="P266" s="1">
        <f>IF(RIGHT(C266,1)="K", LEFT(C266,LEN(C266)-1)*1000,C266)</f>
        <v>65714</v>
      </c>
      <c r="Q266" s="1" t="str">
        <f>IF(LEFT(D266,1)="M","Male","Female")</f>
        <v>Female</v>
      </c>
      <c r="R266" s="1" t="str">
        <f>TRIM(E266)</f>
        <v>Production Manager</v>
      </c>
      <c r="S266" s="1" t="str">
        <f>IF(G266="", "To be updated", IF(OR(G266="IT&amp;IS", G266="ITIS"), "IT/IS", G266))</f>
        <v xml:space="preserve">Production       </v>
      </c>
      <c r="T266" s="2">
        <f t="shared" si="20"/>
        <v>22</v>
      </c>
      <c r="U266" s="1">
        <f t="shared" si="21"/>
        <v>5</v>
      </c>
      <c r="V266" s="1">
        <f t="shared" ca="1" si="24"/>
        <v>49</v>
      </c>
    </row>
    <row r="267" spans="1:22" x14ac:dyDescent="0.25">
      <c r="A267" s="1">
        <v>10030</v>
      </c>
      <c r="B267" s="1" t="s">
        <v>225</v>
      </c>
      <c r="C267" s="1">
        <v>62425</v>
      </c>
      <c r="D267" s="1" t="s">
        <v>17</v>
      </c>
      <c r="E267" s="1" t="s">
        <v>11</v>
      </c>
      <c r="F267" s="1" t="s">
        <v>15</v>
      </c>
      <c r="G267" s="1" t="s">
        <v>13</v>
      </c>
      <c r="H267" s="1">
        <v>14</v>
      </c>
      <c r="I267" s="1">
        <v>4</v>
      </c>
      <c r="J267" s="1">
        <v>0</v>
      </c>
      <c r="M267" s="1" t="str">
        <f>SUBSTITUTE(TEXT(B267,"dd/mm/yyyy"),"-","/")</f>
        <v>03/26/1973</v>
      </c>
      <c r="N267" s="3">
        <f t="shared" si="22"/>
        <v>26749</v>
      </c>
      <c r="O267" s="3" t="str">
        <f t="shared" si="23"/>
        <v>26/03/1973</v>
      </c>
      <c r="P267" s="1">
        <f>IF(RIGHT(C267,1)="K", LEFT(C267,LEN(C267)-1)*1000,C267)</f>
        <v>62425</v>
      </c>
      <c r="Q267" s="1" t="str">
        <f>IF(LEFT(D267,1)="M","Male","Female")</f>
        <v>Female</v>
      </c>
      <c r="R267" s="1" t="str">
        <f>TRIM(E267)</f>
        <v>Production Technician I</v>
      </c>
      <c r="S267" s="1" t="str">
        <f>IF(G267="", "To be updated", IF(OR(G267="IT&amp;IS", G267="ITIS"), "IT/IS", G267))</f>
        <v xml:space="preserve">Production       </v>
      </c>
      <c r="T267" s="2">
        <f t="shared" si="20"/>
        <v>14</v>
      </c>
      <c r="U267" s="1">
        <f t="shared" si="21"/>
        <v>4</v>
      </c>
      <c r="V267" s="1">
        <f t="shared" ca="1" si="24"/>
        <v>52</v>
      </c>
    </row>
    <row r="268" spans="1:22" x14ac:dyDescent="0.25">
      <c r="A268" s="1">
        <v>10278</v>
      </c>
      <c r="B268" s="1" t="s">
        <v>226</v>
      </c>
      <c r="C268" s="1">
        <v>47961</v>
      </c>
      <c r="D268" s="1" t="s">
        <v>17</v>
      </c>
      <c r="E268" s="1" t="s">
        <v>11</v>
      </c>
      <c r="F268" s="1" t="s">
        <v>12</v>
      </c>
      <c r="G268" s="1" t="s">
        <v>13</v>
      </c>
      <c r="H268" s="1">
        <v>14</v>
      </c>
      <c r="I268" s="1">
        <v>4</v>
      </c>
      <c r="J268" s="1">
        <v>0</v>
      </c>
      <c r="M268" s="1" t="str">
        <f>SUBSTITUTE(TEXT(B268,"dd/mm/yyyy"),"-","/")</f>
        <v>08/25/1982</v>
      </c>
      <c r="N268" s="3">
        <f t="shared" si="22"/>
        <v>30188</v>
      </c>
      <c r="O268" s="3" t="str">
        <f t="shared" si="23"/>
        <v>25/08/1982</v>
      </c>
      <c r="P268" s="1">
        <f>IF(RIGHT(C268,1)="K", LEFT(C268,LEN(C268)-1)*1000,C268)</f>
        <v>47961</v>
      </c>
      <c r="Q268" s="1" t="str">
        <f>IF(LEFT(D268,1)="M","Male","Female")</f>
        <v>Female</v>
      </c>
      <c r="R268" s="1" t="str">
        <f>TRIM(E268)</f>
        <v>Production Technician I</v>
      </c>
      <c r="S268" s="1" t="str">
        <f>IF(G268="", "To be updated", IF(OR(G268="IT&amp;IS", G268="ITIS"), "IT/IS", G268))</f>
        <v xml:space="preserve">Production       </v>
      </c>
      <c r="T268" s="2">
        <f t="shared" si="20"/>
        <v>14</v>
      </c>
      <c r="U268" s="1">
        <f t="shared" si="21"/>
        <v>4</v>
      </c>
      <c r="V268" s="1">
        <f t="shared" ca="1" si="24"/>
        <v>43</v>
      </c>
    </row>
    <row r="269" spans="1:22" x14ac:dyDescent="0.25">
      <c r="A269" s="1">
        <v>10307</v>
      </c>
      <c r="B269" s="3">
        <v>27277</v>
      </c>
      <c r="C269" s="1">
        <v>58273</v>
      </c>
      <c r="D269" s="1" t="s">
        <v>22</v>
      </c>
      <c r="E269" s="1" t="s">
        <v>32</v>
      </c>
      <c r="F269" s="1" t="s">
        <v>12</v>
      </c>
      <c r="G269" s="1"/>
      <c r="H269" s="1">
        <v>13</v>
      </c>
      <c r="I269" s="1">
        <v>2</v>
      </c>
      <c r="J269" s="1">
        <v>0</v>
      </c>
      <c r="M269" s="1" t="str">
        <f>SUBSTITUTE(TEXT(B269,"dd/mm/yyyy"),"-","/")</f>
        <v>05/09/1974</v>
      </c>
      <c r="N269" s="3" t="str">
        <f t="shared" si="22"/>
        <v>05/09/1974</v>
      </c>
      <c r="O269" s="3" t="str">
        <f t="shared" si="23"/>
        <v>05/09/1974</v>
      </c>
      <c r="P269" s="1">
        <f>IF(RIGHT(C269,1)="K", LEFT(C269,LEN(C269)-1)*1000,C269)</f>
        <v>58273</v>
      </c>
      <c r="Q269" s="1" t="str">
        <f>IF(LEFT(D269,1)="M","Male","Female")</f>
        <v>Male</v>
      </c>
      <c r="R269" s="1" t="str">
        <f>TRIM(E269)</f>
        <v>Area Sales Manager</v>
      </c>
      <c r="S269" s="1" t="str">
        <f>IF(G269="", "To be updated", IF(OR(G269="IT&amp;IS", G269="ITIS"), "IT/IS", G269))</f>
        <v>To be updated</v>
      </c>
      <c r="T269" s="2">
        <f t="shared" si="20"/>
        <v>13</v>
      </c>
      <c r="U269" s="1">
        <f t="shared" si="21"/>
        <v>2</v>
      </c>
      <c r="V269" s="1">
        <f t="shared" ca="1" si="24"/>
        <v>51</v>
      </c>
    </row>
    <row r="270" spans="1:22" x14ac:dyDescent="0.25">
      <c r="A270" s="1">
        <v>10147</v>
      </c>
      <c r="B270" s="3">
        <v>31421</v>
      </c>
      <c r="C270" s="1">
        <v>63003</v>
      </c>
      <c r="D270" s="1" t="s">
        <v>22</v>
      </c>
      <c r="E270" s="1" t="s">
        <v>31</v>
      </c>
      <c r="F270" s="1" t="s">
        <v>12</v>
      </c>
      <c r="G270" s="1" t="s">
        <v>29</v>
      </c>
      <c r="H270" s="1">
        <v>19</v>
      </c>
      <c r="I270" s="1" t="s">
        <v>67</v>
      </c>
      <c r="J270" s="1">
        <v>5</v>
      </c>
      <c r="M270" s="1" t="str">
        <f>SUBSTITUTE(TEXT(B270,"dd/mm/yyyy"),"-","/")</f>
        <v>09/01/1986</v>
      </c>
      <c r="N270" s="3" t="str">
        <f t="shared" si="22"/>
        <v>09/01/1986</v>
      </c>
      <c r="O270" s="3" t="str">
        <f t="shared" si="23"/>
        <v>09/01/1986</v>
      </c>
      <c r="P270" s="1">
        <f>IF(RIGHT(C270,1)="K", LEFT(C270,LEN(C270)-1)*1000,C270)</f>
        <v>63003</v>
      </c>
      <c r="Q270" s="1" t="str">
        <f>IF(LEFT(D270,1)="M","Male","Female")</f>
        <v>Male</v>
      </c>
      <c r="R270" s="1" t="str">
        <f>TRIM(E270)</f>
        <v>Accountant I</v>
      </c>
      <c r="S270" s="1" t="str">
        <f>IF(G270="", "To be updated", IF(OR(G270="IT&amp;IS", G270="ITIS"), "IT/IS", G270))</f>
        <v>Admin Offices</v>
      </c>
      <c r="T270" s="2">
        <f t="shared" si="20"/>
        <v>19</v>
      </c>
      <c r="U270" s="1">
        <f t="shared" si="21"/>
        <v>1</v>
      </c>
      <c r="V270" s="1">
        <f t="shared" ca="1" si="24"/>
        <v>39</v>
      </c>
    </row>
    <row r="271" spans="1:22" x14ac:dyDescent="0.25">
      <c r="A271" s="1">
        <v>10266</v>
      </c>
      <c r="B271" s="1" t="s">
        <v>227</v>
      </c>
      <c r="C271" s="1">
        <v>61355</v>
      </c>
      <c r="D271" s="1" t="s">
        <v>22</v>
      </c>
      <c r="E271" s="1" t="s">
        <v>11</v>
      </c>
      <c r="F271" s="1" t="s">
        <v>12</v>
      </c>
      <c r="G271" s="1" t="s">
        <v>13</v>
      </c>
      <c r="H271" s="1">
        <v>14</v>
      </c>
      <c r="I271" s="1" t="s">
        <v>67</v>
      </c>
      <c r="J271" s="1">
        <v>0</v>
      </c>
      <c r="M271" s="1" t="str">
        <f>SUBSTITUTE(TEXT(B271,"dd/mm/yyyy"),"-","/")</f>
        <v>03/14/1985</v>
      </c>
      <c r="N271" s="3">
        <f t="shared" si="22"/>
        <v>31120</v>
      </c>
      <c r="O271" s="3" t="str">
        <f t="shared" si="23"/>
        <v>14/03/1985</v>
      </c>
      <c r="P271" s="1">
        <f>IF(RIGHT(C271,1)="K", LEFT(C271,LEN(C271)-1)*1000,C271)</f>
        <v>61355</v>
      </c>
      <c r="Q271" s="1" t="str">
        <f>IF(LEFT(D271,1)="M","Male","Female")</f>
        <v>Male</v>
      </c>
      <c r="R271" s="1" t="str">
        <f>TRIM(E271)</f>
        <v>Production Technician I</v>
      </c>
      <c r="S271" s="1" t="str">
        <f>IF(G271="", "To be updated", IF(OR(G271="IT&amp;IS", G271="ITIS"), "IT/IS", G271))</f>
        <v xml:space="preserve">Production       </v>
      </c>
      <c r="T271" s="2">
        <f t="shared" si="20"/>
        <v>14</v>
      </c>
      <c r="U271" s="1">
        <f t="shared" si="21"/>
        <v>1</v>
      </c>
      <c r="V271" s="1">
        <f t="shared" ca="1" si="24"/>
        <v>40</v>
      </c>
    </row>
    <row r="272" spans="1:22" x14ac:dyDescent="0.25">
      <c r="A272" s="1">
        <v>10241</v>
      </c>
      <c r="B272" s="3">
        <v>32847</v>
      </c>
      <c r="C272" s="1">
        <v>60120</v>
      </c>
      <c r="D272" s="1" t="s">
        <v>17</v>
      </c>
      <c r="E272" s="1" t="s">
        <v>32</v>
      </c>
      <c r="F272" s="1" t="s">
        <v>12</v>
      </c>
      <c r="G272" s="1" t="s">
        <v>33</v>
      </c>
      <c r="H272" s="1">
        <v>19</v>
      </c>
      <c r="I272" s="1">
        <v>4</v>
      </c>
      <c r="J272" s="1">
        <v>0</v>
      </c>
      <c r="M272" s="1" t="str">
        <f>SUBSTITUTE(TEXT(B272,"dd/mm/yyyy"),"-","/")</f>
        <v>05/12/1989</v>
      </c>
      <c r="N272" s="3" t="str">
        <f t="shared" si="22"/>
        <v>05/12/1989</v>
      </c>
      <c r="O272" s="3" t="str">
        <f t="shared" si="23"/>
        <v>05/12/1989</v>
      </c>
      <c r="P272" s="1">
        <f>IF(RIGHT(C272,1)="K", LEFT(C272,LEN(C272)-1)*1000,C272)</f>
        <v>60120</v>
      </c>
      <c r="Q272" s="1" t="str">
        <f>IF(LEFT(D272,1)="M","Male","Female")</f>
        <v>Female</v>
      </c>
      <c r="R272" s="1" t="str">
        <f>TRIM(E272)</f>
        <v>Area Sales Manager</v>
      </c>
      <c r="S272" s="1" t="str">
        <f>IF(G272="", "To be updated", IF(OR(G272="IT&amp;IS", G272="ITIS"), "IT/IS", G272))</f>
        <v>Sales</v>
      </c>
      <c r="T272" s="2">
        <f t="shared" si="20"/>
        <v>19</v>
      </c>
      <c r="U272" s="1">
        <f t="shared" si="21"/>
        <v>4</v>
      </c>
      <c r="V272" s="1">
        <f t="shared" ca="1" si="24"/>
        <v>35</v>
      </c>
    </row>
    <row r="273" spans="1:22" x14ac:dyDescent="0.25">
      <c r="A273" s="1">
        <v>10158</v>
      </c>
      <c r="B273" s="1" t="s">
        <v>228</v>
      </c>
      <c r="C273" s="1">
        <v>63682</v>
      </c>
      <c r="D273" s="1" t="s">
        <v>17</v>
      </c>
      <c r="E273" s="1" t="s">
        <v>30</v>
      </c>
      <c r="F273" s="1" t="s">
        <v>12</v>
      </c>
      <c r="G273" s="1" t="s">
        <v>13</v>
      </c>
      <c r="H273" s="1">
        <v>18</v>
      </c>
      <c r="I273" s="1">
        <v>4</v>
      </c>
      <c r="J273" s="1">
        <v>0</v>
      </c>
      <c r="M273" s="1" t="str">
        <f>SUBSTITUTE(TEXT(B273,"dd/mm/yyyy"),"-","/")</f>
        <v>03/28/1978</v>
      </c>
      <c r="N273" s="3">
        <f t="shared" si="22"/>
        <v>28577</v>
      </c>
      <c r="O273" s="3" t="str">
        <f t="shared" si="23"/>
        <v>28/03/1978</v>
      </c>
      <c r="P273" s="1">
        <f>IF(RIGHT(C273,1)="K", LEFT(C273,LEN(C273)-1)*1000,C273)</f>
        <v>63682</v>
      </c>
      <c r="Q273" s="1" t="str">
        <f>IF(LEFT(D273,1)="M","Male","Female")</f>
        <v>Female</v>
      </c>
      <c r="R273" s="1" t="str">
        <f>TRIM(E273)</f>
        <v>Production Manager</v>
      </c>
      <c r="S273" s="1" t="str">
        <f>IF(G273="", "To be updated", IF(OR(G273="IT&amp;IS", G273="ITIS"), "IT/IS", G273))</f>
        <v xml:space="preserve">Production       </v>
      </c>
      <c r="T273" s="2">
        <f t="shared" si="20"/>
        <v>18</v>
      </c>
      <c r="U273" s="1">
        <f t="shared" si="21"/>
        <v>4</v>
      </c>
      <c r="V273" s="1">
        <f t="shared" ca="1" si="24"/>
        <v>47</v>
      </c>
    </row>
    <row r="274" spans="1:22" x14ac:dyDescent="0.25">
      <c r="A274" s="1">
        <v>10117</v>
      </c>
      <c r="B274" s="3">
        <v>30142</v>
      </c>
      <c r="C274" s="1">
        <v>63025</v>
      </c>
      <c r="D274" s="1" t="s">
        <v>22</v>
      </c>
      <c r="E274" s="1" t="s">
        <v>11</v>
      </c>
      <c r="F274" s="1" t="s">
        <v>12</v>
      </c>
      <c r="G274" s="1" t="s">
        <v>13</v>
      </c>
      <c r="H274" s="1">
        <v>11</v>
      </c>
      <c r="I274" s="1">
        <v>5</v>
      </c>
      <c r="J274" s="1">
        <v>0</v>
      </c>
      <c r="M274" s="1" t="str">
        <f>SUBSTITUTE(TEXT(B274,"dd/mm/yyyy"),"-","/")</f>
        <v>10/07/1982</v>
      </c>
      <c r="N274" s="3" t="str">
        <f t="shared" si="22"/>
        <v>10/07/1982</v>
      </c>
      <c r="O274" s="3" t="str">
        <f t="shared" si="23"/>
        <v>10/07/1982</v>
      </c>
      <c r="P274" s="1">
        <f>IF(RIGHT(C274,1)="K", LEFT(C274,LEN(C274)-1)*1000,C274)</f>
        <v>63025</v>
      </c>
      <c r="Q274" s="1" t="str">
        <f>IF(LEFT(D274,1)="M","Male","Female")</f>
        <v>Male</v>
      </c>
      <c r="R274" s="1" t="str">
        <f>TRIM(E274)</f>
        <v>Production Technician I</v>
      </c>
      <c r="S274" s="1" t="str">
        <f>IF(G274="", "To be updated", IF(OR(G274="IT&amp;IS", G274="ITIS"), "IT/IS", G274))</f>
        <v xml:space="preserve">Production       </v>
      </c>
      <c r="T274" s="2">
        <f t="shared" si="20"/>
        <v>11</v>
      </c>
      <c r="U274" s="1">
        <f t="shared" si="21"/>
        <v>5</v>
      </c>
      <c r="V274" s="1">
        <f t="shared" ca="1" si="24"/>
        <v>43</v>
      </c>
    </row>
    <row r="275" spans="1:22" x14ac:dyDescent="0.25">
      <c r="A275" s="1">
        <v>10209</v>
      </c>
      <c r="B275" s="1" t="s">
        <v>229</v>
      </c>
      <c r="C275" s="1">
        <v>59238</v>
      </c>
      <c r="D275" s="1" t="s">
        <v>17</v>
      </c>
      <c r="E275" s="1" t="s">
        <v>11</v>
      </c>
      <c r="F275" s="1" t="s">
        <v>12</v>
      </c>
      <c r="G275" s="1" t="s">
        <v>13</v>
      </c>
      <c r="H275" s="1">
        <v>17</v>
      </c>
      <c r="I275" s="1">
        <v>5</v>
      </c>
      <c r="J275" s="1">
        <v>0</v>
      </c>
      <c r="M275" s="1" t="str">
        <f>SUBSTITUTE(TEXT(B275,"dd/mm/yyyy"),"-","/")</f>
        <v>08/15/1968</v>
      </c>
      <c r="N275" s="3">
        <f t="shared" si="22"/>
        <v>25065</v>
      </c>
      <c r="O275" s="3" t="str">
        <f t="shared" si="23"/>
        <v>15/08/1968</v>
      </c>
      <c r="P275" s="1">
        <f>IF(RIGHT(C275,1)="K", LEFT(C275,LEN(C275)-1)*1000,C275)</f>
        <v>59238</v>
      </c>
      <c r="Q275" s="1" t="str">
        <f>IF(LEFT(D275,1)="M","Male","Female")</f>
        <v>Female</v>
      </c>
      <c r="R275" s="1" t="str">
        <f>TRIM(E275)</f>
        <v>Production Technician I</v>
      </c>
      <c r="S275" s="1" t="str">
        <f>IF(G275="", "To be updated", IF(OR(G275="IT&amp;IS", G275="ITIS"), "IT/IS", G275))</f>
        <v xml:space="preserve">Production       </v>
      </c>
      <c r="T275" s="2">
        <f t="shared" si="20"/>
        <v>17</v>
      </c>
      <c r="U275" s="1">
        <f t="shared" si="21"/>
        <v>5</v>
      </c>
      <c r="V275" s="1">
        <f t="shared" ca="1" si="24"/>
        <v>57</v>
      </c>
    </row>
    <row r="276" spans="1:22" x14ac:dyDescent="0.25">
      <c r="A276" s="1">
        <v>10024</v>
      </c>
      <c r="B276" s="3">
        <v>30472</v>
      </c>
      <c r="C276" s="1">
        <v>92989</v>
      </c>
      <c r="D276" s="1" t="s">
        <v>22</v>
      </c>
      <c r="E276" s="1" t="s">
        <v>20</v>
      </c>
      <c r="F276" s="1" t="s">
        <v>12</v>
      </c>
      <c r="G276" s="1" t="s">
        <v>21</v>
      </c>
      <c r="H276" s="1">
        <v>14</v>
      </c>
      <c r="I276" s="1">
        <v>5</v>
      </c>
      <c r="J276" s="1">
        <v>5</v>
      </c>
      <c r="M276" s="1" t="str">
        <f>SUBSTITUTE(TEXT(B276,"dd/mm/yyyy"),"-","/")</f>
        <v>05/06/1983</v>
      </c>
      <c r="N276" s="3" t="str">
        <f t="shared" si="22"/>
        <v>05/06/1983</v>
      </c>
      <c r="O276" s="3" t="str">
        <f t="shared" si="23"/>
        <v>05/06/1983</v>
      </c>
      <c r="P276" s="1">
        <f>IF(RIGHT(C276,1)="K", LEFT(C276,LEN(C276)-1)*1000,C276)</f>
        <v>92989</v>
      </c>
      <c r="Q276" s="1" t="str">
        <f>IF(LEFT(D276,1)="M","Male","Female")</f>
        <v>Male</v>
      </c>
      <c r="R276" s="1" t="str">
        <f>TRIM(E276)</f>
        <v>Software Engineer</v>
      </c>
      <c r="S276" s="1" t="str">
        <f>IF(G276="", "To be updated", IF(OR(G276="IT&amp;IS", G276="ITIS"), "IT/IS", G276))</f>
        <v>Software Engineering</v>
      </c>
      <c r="T276" s="2">
        <f t="shared" si="20"/>
        <v>14</v>
      </c>
      <c r="U276" s="1">
        <f t="shared" si="21"/>
        <v>5</v>
      </c>
      <c r="V276" s="1">
        <f t="shared" ca="1" si="24"/>
        <v>42</v>
      </c>
    </row>
    <row r="277" spans="1:22" x14ac:dyDescent="0.25">
      <c r="A277" s="1">
        <v>10173</v>
      </c>
      <c r="B277" s="1" t="s">
        <v>230</v>
      </c>
      <c r="C277" s="1">
        <v>90100</v>
      </c>
      <c r="D277" s="1" t="s">
        <v>22</v>
      </c>
      <c r="E277" s="1" t="s">
        <v>39</v>
      </c>
      <c r="F277" s="1" t="s">
        <v>12</v>
      </c>
      <c r="G277" s="1" t="s">
        <v>16</v>
      </c>
      <c r="H277" s="1">
        <v>14</v>
      </c>
      <c r="I277" s="1">
        <v>3</v>
      </c>
      <c r="J277" s="1">
        <v>6</v>
      </c>
      <c r="M277" s="1" t="str">
        <f>SUBSTITUTE(TEXT(B277,"dd/mm/yyyy"),"-","/")</f>
        <v>10/24/1987</v>
      </c>
      <c r="N277" s="3">
        <f t="shared" si="22"/>
        <v>32074</v>
      </c>
      <c r="O277" s="3" t="str">
        <f t="shared" si="23"/>
        <v>24/10/1987</v>
      </c>
      <c r="P277" s="1">
        <f>IF(RIGHT(C277,1)="K", LEFT(C277,LEN(C277)-1)*1000,C277)</f>
        <v>90100</v>
      </c>
      <c r="Q277" s="1" t="str">
        <f>IF(LEFT(D277,1)="M","Male","Female")</f>
        <v>Male</v>
      </c>
      <c r="R277" s="1" t="str">
        <f>TRIM(E277)</f>
        <v>BI Developer</v>
      </c>
      <c r="S277" s="1" t="str">
        <f>IF(G277="", "To be updated", IF(OR(G277="IT&amp;IS", G277="ITIS"), "IT/IS", G277))</f>
        <v>IT/IS</v>
      </c>
      <c r="T277" s="2">
        <f t="shared" si="20"/>
        <v>14</v>
      </c>
      <c r="U277" s="1">
        <f t="shared" si="21"/>
        <v>3</v>
      </c>
      <c r="V277" s="1">
        <f t="shared" ca="1" si="24"/>
        <v>37</v>
      </c>
    </row>
    <row r="278" spans="1:22" x14ac:dyDescent="0.25">
      <c r="A278" s="1">
        <v>10221</v>
      </c>
      <c r="B278" s="3">
        <v>27457</v>
      </c>
      <c r="C278" s="1">
        <v>60754</v>
      </c>
      <c r="D278" s="1" t="s">
        <v>17</v>
      </c>
      <c r="E278" s="1" t="s">
        <v>11</v>
      </c>
      <c r="F278" s="1" t="s">
        <v>15</v>
      </c>
      <c r="G278" s="1" t="s">
        <v>13</v>
      </c>
      <c r="H278" s="1">
        <v>16</v>
      </c>
      <c r="I278" s="1">
        <v>5</v>
      </c>
      <c r="J278" s="1">
        <v>0</v>
      </c>
      <c r="M278" s="1" t="str">
        <f>SUBSTITUTE(TEXT(B278,"dd/mm/yyyy"),"-","/")</f>
        <v>04/03/1975</v>
      </c>
      <c r="N278" s="3" t="str">
        <f t="shared" si="22"/>
        <v>04/03/1975</v>
      </c>
      <c r="O278" s="3" t="str">
        <f t="shared" si="23"/>
        <v>04/03/1975</v>
      </c>
      <c r="P278" s="1">
        <f>IF(RIGHT(C278,1)="K", LEFT(C278,LEN(C278)-1)*1000,C278)</f>
        <v>60754</v>
      </c>
      <c r="Q278" s="1" t="str">
        <f>IF(LEFT(D278,1)="M","Male","Female")</f>
        <v>Female</v>
      </c>
      <c r="R278" s="1" t="str">
        <f>TRIM(E278)</f>
        <v>Production Technician I</v>
      </c>
      <c r="S278" s="1" t="str">
        <f>IF(G278="", "To be updated", IF(OR(G278="IT&amp;IS", G278="ITIS"), "IT/IS", G278))</f>
        <v xml:space="preserve">Production       </v>
      </c>
      <c r="T278" s="2">
        <f t="shared" si="20"/>
        <v>16</v>
      </c>
      <c r="U278" s="1">
        <f t="shared" si="21"/>
        <v>5</v>
      </c>
      <c r="V278" s="1">
        <f t="shared" ca="1" si="24"/>
        <v>50</v>
      </c>
    </row>
    <row r="279" spans="1:22" x14ac:dyDescent="0.25">
      <c r="A279" s="1">
        <v>10146</v>
      </c>
      <c r="B279" s="1" t="s">
        <v>231</v>
      </c>
      <c r="C279" s="1">
        <v>72202</v>
      </c>
      <c r="D279" s="1" t="s">
        <v>17</v>
      </c>
      <c r="E279" s="1" t="s">
        <v>18</v>
      </c>
      <c r="F279" s="1" t="s">
        <v>15</v>
      </c>
      <c r="G279" s="1" t="s">
        <v>13</v>
      </c>
      <c r="H279" s="1">
        <v>18</v>
      </c>
      <c r="I279" s="1">
        <v>3</v>
      </c>
      <c r="J279" s="1">
        <v>0</v>
      </c>
      <c r="M279" s="1" t="str">
        <f>SUBSTITUTE(TEXT(B279,"dd/mm/yyyy"),"-","/")</f>
        <v>05/24/1953</v>
      </c>
      <c r="N279" s="3">
        <f t="shared" si="22"/>
        <v>19503</v>
      </c>
      <c r="O279" s="3" t="str">
        <f t="shared" si="23"/>
        <v>24/05/1953</v>
      </c>
      <c r="P279" s="1">
        <f>IF(RIGHT(C279,1)="K", LEFT(C279,LEN(C279)-1)*1000,C279)</f>
        <v>72202</v>
      </c>
      <c r="Q279" s="1" t="str">
        <f>IF(LEFT(D279,1)="M","Male","Female")</f>
        <v>Female</v>
      </c>
      <c r="R279" s="1" t="str">
        <f>TRIM(E279)</f>
        <v>Production Technician II</v>
      </c>
      <c r="S279" s="1" t="str">
        <f>IF(G279="", "To be updated", IF(OR(G279="IT&amp;IS", G279="ITIS"), "IT/IS", G279))</f>
        <v xml:space="preserve">Production       </v>
      </c>
      <c r="T279" s="2">
        <f t="shared" si="20"/>
        <v>18</v>
      </c>
      <c r="U279" s="1">
        <f t="shared" si="21"/>
        <v>3</v>
      </c>
      <c r="V279" s="1">
        <f t="shared" ca="1" si="24"/>
        <v>72</v>
      </c>
    </row>
    <row r="280" spans="1:22" x14ac:dyDescent="0.25">
      <c r="A280" s="1">
        <v>10161</v>
      </c>
      <c r="B280" s="3">
        <v>23928</v>
      </c>
      <c r="C280" s="1">
        <v>58370</v>
      </c>
      <c r="D280" s="1" t="s">
        <v>17</v>
      </c>
      <c r="E280" s="1" t="s">
        <v>32</v>
      </c>
      <c r="F280" s="1" t="s">
        <v>12</v>
      </c>
      <c r="G280" s="1" t="s">
        <v>33</v>
      </c>
      <c r="H280" s="1">
        <v>16</v>
      </c>
      <c r="I280" s="1">
        <v>3</v>
      </c>
      <c r="J280" s="1">
        <v>0</v>
      </c>
      <c r="M280" s="1" t="str">
        <f>SUBSTITUTE(TEXT(B280,"dd/mm/yyyy"),"-","/")</f>
        <v>05/07/1965</v>
      </c>
      <c r="N280" s="3" t="str">
        <f t="shared" si="22"/>
        <v>05/07/1965</v>
      </c>
      <c r="O280" s="3" t="str">
        <f t="shared" si="23"/>
        <v>05/07/1965</v>
      </c>
      <c r="P280" s="1">
        <f>IF(RIGHT(C280,1)="K", LEFT(C280,LEN(C280)-1)*1000,C280)</f>
        <v>58370</v>
      </c>
      <c r="Q280" s="1" t="str">
        <f>IF(LEFT(D280,1)="M","Male","Female")</f>
        <v>Female</v>
      </c>
      <c r="R280" s="1" t="str">
        <f>TRIM(E280)</f>
        <v>Area Sales Manager</v>
      </c>
      <c r="S280" s="1" t="str">
        <f>IF(G280="", "To be updated", IF(OR(G280="IT&amp;IS", G280="ITIS"), "IT/IS", G280))</f>
        <v>Sales</v>
      </c>
      <c r="T280" s="2">
        <f t="shared" si="20"/>
        <v>16</v>
      </c>
      <c r="U280" s="1">
        <f t="shared" si="21"/>
        <v>3</v>
      </c>
      <c r="V280" s="1">
        <f t="shared" ca="1" si="24"/>
        <v>60</v>
      </c>
    </row>
    <row r="281" spans="1:22" x14ac:dyDescent="0.25">
      <c r="A281" s="1">
        <v>10141</v>
      </c>
      <c r="B281" s="3">
        <v>23990</v>
      </c>
      <c r="C281" s="1">
        <v>48413</v>
      </c>
      <c r="D281" s="1" t="s">
        <v>17</v>
      </c>
      <c r="E281" s="1" t="s">
        <v>11</v>
      </c>
      <c r="F281" s="1" t="s">
        <v>15</v>
      </c>
      <c r="G281" s="1" t="s">
        <v>13</v>
      </c>
      <c r="H281" s="1">
        <v>12</v>
      </c>
      <c r="I281" s="1">
        <v>4</v>
      </c>
      <c r="J281" s="1">
        <v>0</v>
      </c>
      <c r="M281" s="1" t="str">
        <f>SUBSTITUTE(TEXT(B281,"dd/mm/yyyy"),"-","/")</f>
        <v>05/09/1965</v>
      </c>
      <c r="N281" s="3" t="str">
        <f t="shared" si="22"/>
        <v>05/09/1965</v>
      </c>
      <c r="O281" s="3" t="str">
        <f t="shared" si="23"/>
        <v>05/09/1965</v>
      </c>
      <c r="P281" s="1">
        <f>IF(RIGHT(C281,1)="K", LEFT(C281,LEN(C281)-1)*1000,C281)</f>
        <v>48413</v>
      </c>
      <c r="Q281" s="1" t="str">
        <f>IF(LEFT(D281,1)="M","Male","Female")</f>
        <v>Female</v>
      </c>
      <c r="R281" s="1" t="str">
        <f>TRIM(E281)</f>
        <v>Production Technician I</v>
      </c>
      <c r="S281" s="1" t="str">
        <f>IF(G281="", "To be updated", IF(OR(G281="IT&amp;IS", G281="ITIS"), "IT/IS", G281))</f>
        <v xml:space="preserve">Production       </v>
      </c>
      <c r="T281" s="2">
        <f t="shared" si="20"/>
        <v>12</v>
      </c>
      <c r="U281" s="1">
        <f t="shared" si="21"/>
        <v>4</v>
      </c>
      <c r="V281" s="1">
        <f t="shared" ca="1" si="24"/>
        <v>60</v>
      </c>
    </row>
    <row r="282" spans="1:22" x14ac:dyDescent="0.25">
      <c r="A282" s="1">
        <v>10268</v>
      </c>
      <c r="B282" s="1" t="s">
        <v>232</v>
      </c>
      <c r="C282" s="1">
        <v>67176</v>
      </c>
      <c r="D282" s="1" t="s">
        <v>22</v>
      </c>
      <c r="E282" s="1" t="s">
        <v>18</v>
      </c>
      <c r="F282" s="1" t="s">
        <v>15</v>
      </c>
      <c r="G282" s="1" t="s">
        <v>13</v>
      </c>
      <c r="H282" s="1">
        <v>14</v>
      </c>
      <c r="I282" s="1">
        <v>4</v>
      </c>
      <c r="J282" s="1">
        <v>0</v>
      </c>
      <c r="M282" s="1" t="str">
        <f>SUBSTITUTE(TEXT(B282,"dd/mm/yyyy"),"-","/")</f>
        <v>09/16/1975</v>
      </c>
      <c r="N282" s="3">
        <f t="shared" si="22"/>
        <v>27653</v>
      </c>
      <c r="O282" s="3" t="str">
        <f t="shared" si="23"/>
        <v>16/09/1975</v>
      </c>
      <c r="P282" s="1">
        <f>IF(RIGHT(C282,1)="K", LEFT(C282,LEN(C282)-1)*1000,C282)</f>
        <v>67176</v>
      </c>
      <c r="Q282" s="1" t="str">
        <f>IF(LEFT(D282,1)="M","Male","Female")</f>
        <v>Male</v>
      </c>
      <c r="R282" s="1" t="str">
        <f>TRIM(E282)</f>
        <v>Production Technician II</v>
      </c>
      <c r="S282" s="1" t="str">
        <f>IF(G282="", "To be updated", IF(OR(G282="IT&amp;IS", G282="ITIS"), "IT/IS", G282))</f>
        <v xml:space="preserve">Production       </v>
      </c>
      <c r="T282" s="2">
        <f t="shared" si="20"/>
        <v>14</v>
      </c>
      <c r="U282" s="1">
        <f t="shared" si="21"/>
        <v>4</v>
      </c>
      <c r="V282" s="1">
        <f t="shared" ca="1" si="24"/>
        <v>50</v>
      </c>
    </row>
    <row r="283" spans="1:22" x14ac:dyDescent="0.25">
      <c r="A283" s="1">
        <v>10123</v>
      </c>
      <c r="B283" s="3">
        <v>24598</v>
      </c>
      <c r="C283" s="1">
        <v>56339</v>
      </c>
      <c r="D283" s="1" t="s">
        <v>17</v>
      </c>
      <c r="E283" s="1" t="s">
        <v>11</v>
      </c>
      <c r="F283" s="1" t="s">
        <v>12</v>
      </c>
      <c r="G283" s="1" t="s">
        <v>13</v>
      </c>
      <c r="H283" s="1">
        <v>18</v>
      </c>
      <c r="I283" s="1">
        <v>5</v>
      </c>
      <c r="J283" s="1">
        <v>0</v>
      </c>
      <c r="M283" s="1" t="str">
        <f>SUBSTITUTE(TEXT(B283,"dd/mm/yyyy"),"-","/")</f>
        <v>06/05/1967</v>
      </c>
      <c r="N283" s="3" t="str">
        <f t="shared" si="22"/>
        <v>06/05/1967</v>
      </c>
      <c r="O283" s="3" t="str">
        <f t="shared" si="23"/>
        <v>06/05/1967</v>
      </c>
      <c r="P283" s="1">
        <f>IF(RIGHT(C283,1)="K", LEFT(C283,LEN(C283)-1)*1000,C283)</f>
        <v>56339</v>
      </c>
      <c r="Q283" s="1" t="str">
        <f>IF(LEFT(D283,1)="M","Male","Female")</f>
        <v>Female</v>
      </c>
      <c r="R283" s="1" t="str">
        <f>TRIM(E283)</f>
        <v>Production Technician I</v>
      </c>
      <c r="S283" s="1" t="str">
        <f>IF(G283="", "To be updated", IF(OR(G283="IT&amp;IS", G283="ITIS"), "IT/IS", G283))</f>
        <v xml:space="preserve">Production       </v>
      </c>
      <c r="T283" s="2">
        <f t="shared" si="20"/>
        <v>18</v>
      </c>
      <c r="U283" s="1">
        <f t="shared" si="21"/>
        <v>5</v>
      </c>
      <c r="V283" s="1">
        <f t="shared" ca="1" si="24"/>
        <v>58</v>
      </c>
    </row>
    <row r="284" spans="1:22" x14ac:dyDescent="0.25">
      <c r="A284" s="1">
        <v>10013</v>
      </c>
      <c r="B284" s="1" t="s">
        <v>233</v>
      </c>
      <c r="C284" s="1">
        <v>64397</v>
      </c>
      <c r="D284" s="1" t="s">
        <v>22</v>
      </c>
      <c r="E284" s="1" t="s">
        <v>32</v>
      </c>
      <c r="F284" s="1" t="s">
        <v>12</v>
      </c>
      <c r="G284" s="1" t="s">
        <v>33</v>
      </c>
      <c r="H284" s="1">
        <v>11</v>
      </c>
      <c r="I284" s="1">
        <v>3</v>
      </c>
      <c r="J284" s="1">
        <v>0</v>
      </c>
      <c r="M284" s="1" t="str">
        <f>SUBSTITUTE(TEXT(B284,"dd/mm/yyyy"),"-","/")</f>
        <v>01/15/1968</v>
      </c>
      <c r="N284" s="3">
        <f t="shared" si="22"/>
        <v>24852</v>
      </c>
      <c r="O284" s="3" t="str">
        <f t="shared" si="23"/>
        <v>15/01/1968</v>
      </c>
      <c r="P284" s="1">
        <f>IF(RIGHT(C284,1)="K", LEFT(C284,LEN(C284)-1)*1000,C284)</f>
        <v>64397</v>
      </c>
      <c r="Q284" s="1" t="str">
        <f>IF(LEFT(D284,1)="M","Male","Female")</f>
        <v>Male</v>
      </c>
      <c r="R284" s="1" t="str">
        <f>TRIM(E284)</f>
        <v>Area Sales Manager</v>
      </c>
      <c r="S284" s="1" t="str">
        <f>IF(G284="", "To be updated", IF(OR(G284="IT&amp;IS", G284="ITIS"), "IT/IS", G284))</f>
        <v>Sales</v>
      </c>
      <c r="T284" s="2">
        <f t="shared" si="20"/>
        <v>11</v>
      </c>
      <c r="U284" s="1">
        <f t="shared" si="21"/>
        <v>3</v>
      </c>
      <c r="V284" s="1">
        <f t="shared" ca="1" si="24"/>
        <v>57</v>
      </c>
    </row>
    <row r="285" spans="1:22" x14ac:dyDescent="0.25">
      <c r="A285" s="1">
        <v>10287</v>
      </c>
      <c r="B285" s="1" t="s">
        <v>234</v>
      </c>
      <c r="C285" s="1">
        <v>63025</v>
      </c>
      <c r="D285" s="1" t="s">
        <v>17</v>
      </c>
      <c r="E285" s="1" t="s">
        <v>11</v>
      </c>
      <c r="F285" s="1" t="s">
        <v>12</v>
      </c>
      <c r="G285" s="1" t="s">
        <v>13</v>
      </c>
      <c r="H285" s="1">
        <v>14</v>
      </c>
      <c r="I285" s="1">
        <v>5</v>
      </c>
      <c r="J285" s="1">
        <v>0</v>
      </c>
      <c r="M285" s="1" t="str">
        <f>SUBSTITUTE(TEXT(B285,"dd/mm/yyyy"),"-","/")</f>
        <v>05/16/1983</v>
      </c>
      <c r="N285" s="3">
        <f t="shared" si="22"/>
        <v>30452</v>
      </c>
      <c r="O285" s="3" t="str">
        <f t="shared" si="23"/>
        <v>16/05/1983</v>
      </c>
      <c r="P285" s="1">
        <f>IF(RIGHT(C285,1)="K", LEFT(C285,LEN(C285)-1)*1000,C285)</f>
        <v>63025</v>
      </c>
      <c r="Q285" s="1" t="str">
        <f>IF(LEFT(D285,1)="M","Male","Female")</f>
        <v>Female</v>
      </c>
      <c r="R285" s="1" t="str">
        <f>TRIM(E285)</f>
        <v>Production Technician I</v>
      </c>
      <c r="S285" s="1" t="str">
        <f>IF(G285="", "To be updated", IF(OR(G285="IT&amp;IS", G285="ITIS"), "IT/IS", G285))</f>
        <v xml:space="preserve">Production       </v>
      </c>
      <c r="T285" s="2">
        <f t="shared" si="20"/>
        <v>14</v>
      </c>
      <c r="U285" s="1">
        <f t="shared" si="21"/>
        <v>5</v>
      </c>
      <c r="V285" s="1">
        <f t="shared" ca="1" si="24"/>
        <v>42</v>
      </c>
    </row>
    <row r="286" spans="1:22" x14ac:dyDescent="0.25">
      <c r="A286" s="1">
        <v>10044</v>
      </c>
      <c r="B286" s="3">
        <v>32268</v>
      </c>
      <c r="C286" s="1">
        <v>75281</v>
      </c>
      <c r="D286" s="1" t="s">
        <v>22</v>
      </c>
      <c r="E286" s="1" t="s">
        <v>41</v>
      </c>
      <c r="F286" s="1" t="s">
        <v>15</v>
      </c>
      <c r="G286" s="1" t="s">
        <v>16</v>
      </c>
      <c r="H286" s="1">
        <v>12</v>
      </c>
      <c r="I286" s="1">
        <v>3</v>
      </c>
      <c r="J286" s="1">
        <v>5</v>
      </c>
      <c r="M286" s="1" t="str">
        <f>SUBSTITUTE(TEXT(B286,"dd/mm/yyyy"),"-","/")</f>
        <v>05/05/1988</v>
      </c>
      <c r="N286" s="3" t="str">
        <f t="shared" si="22"/>
        <v>05/05/1988</v>
      </c>
      <c r="O286" s="3" t="str">
        <f t="shared" si="23"/>
        <v>05/05/1988</v>
      </c>
      <c r="P286" s="1">
        <f>IF(RIGHT(C286,1)="K", LEFT(C286,LEN(C286)-1)*1000,C286)</f>
        <v>75281</v>
      </c>
      <c r="Q286" s="1" t="str">
        <f>IF(LEFT(D286,1)="M","Male","Female")</f>
        <v>Male</v>
      </c>
      <c r="R286" s="1" t="str">
        <f>TRIM(E286)</f>
        <v>Network Engineer</v>
      </c>
      <c r="S286" s="1" t="str">
        <f>IF(G286="", "To be updated", IF(OR(G286="IT&amp;IS", G286="ITIS"), "IT/IS", G286))</f>
        <v>IT/IS</v>
      </c>
      <c r="T286" s="2">
        <f t="shared" si="20"/>
        <v>12</v>
      </c>
      <c r="U286" s="1">
        <f t="shared" si="21"/>
        <v>3</v>
      </c>
      <c r="V286" s="1">
        <f t="shared" ca="1" si="24"/>
        <v>37</v>
      </c>
    </row>
    <row r="287" spans="1:22" x14ac:dyDescent="0.25">
      <c r="A287" s="1">
        <v>10102</v>
      </c>
      <c r="B287" s="1" t="s">
        <v>101</v>
      </c>
      <c r="C287" s="1">
        <v>100416</v>
      </c>
      <c r="D287" s="1" t="s">
        <v>22</v>
      </c>
      <c r="E287" s="1" t="s">
        <v>20</v>
      </c>
      <c r="F287" s="1" t="s">
        <v>15</v>
      </c>
      <c r="G287" s="1" t="s">
        <v>21</v>
      </c>
      <c r="H287" s="1">
        <v>11</v>
      </c>
      <c r="I287" s="1">
        <v>3</v>
      </c>
      <c r="J287" s="1">
        <v>4</v>
      </c>
      <c r="M287" s="1" t="str">
        <f>SUBSTITUTE(TEXT(B287,"dd/mm/yyyy"),"-","/")</f>
        <v>06/14/1983</v>
      </c>
      <c r="N287" s="3">
        <f t="shared" si="22"/>
        <v>30481</v>
      </c>
      <c r="O287" s="3" t="str">
        <f t="shared" si="23"/>
        <v>14/06/1983</v>
      </c>
      <c r="P287" s="1">
        <f>IF(RIGHT(C287,1)="K", LEFT(C287,LEN(C287)-1)*1000,C287)</f>
        <v>100416</v>
      </c>
      <c r="Q287" s="1" t="str">
        <f>IF(LEFT(D287,1)="M","Male","Female")</f>
        <v>Male</v>
      </c>
      <c r="R287" s="1" t="str">
        <f>TRIM(E287)</f>
        <v>Software Engineer</v>
      </c>
      <c r="S287" s="1" t="str">
        <f>IF(G287="", "To be updated", IF(OR(G287="IT&amp;IS", G287="ITIS"), "IT/IS", G287))</f>
        <v>Software Engineering</v>
      </c>
      <c r="T287" s="2">
        <f t="shared" si="20"/>
        <v>11</v>
      </c>
      <c r="U287" s="1">
        <f t="shared" si="21"/>
        <v>3</v>
      </c>
      <c r="V287" s="1">
        <f t="shared" ca="1" si="24"/>
        <v>42</v>
      </c>
    </row>
    <row r="288" spans="1:22" x14ac:dyDescent="0.25">
      <c r="A288" s="1">
        <v>10270</v>
      </c>
      <c r="B288" s="1" t="s">
        <v>102</v>
      </c>
      <c r="C288" s="1">
        <v>74813</v>
      </c>
      <c r="D288" s="1" t="s">
        <v>17</v>
      </c>
      <c r="E288" s="1" t="s">
        <v>18</v>
      </c>
      <c r="F288" s="1" t="s">
        <v>15</v>
      </c>
      <c r="G288" s="1" t="s">
        <v>13</v>
      </c>
      <c r="H288" s="1">
        <v>24</v>
      </c>
      <c r="I288" s="1">
        <v>3</v>
      </c>
      <c r="J288" s="1">
        <v>0</v>
      </c>
      <c r="M288" s="1" t="str">
        <f>SUBSTITUTE(TEXT(B288,"dd/mm/yyyy"),"-","/")</f>
        <v>03/15/1985</v>
      </c>
      <c r="N288" s="3">
        <f t="shared" si="22"/>
        <v>31121</v>
      </c>
      <c r="O288" s="3" t="str">
        <f t="shared" si="23"/>
        <v>15/03/1985</v>
      </c>
      <c r="P288" s="1">
        <f>IF(RIGHT(C288,1)="K", LEFT(C288,LEN(C288)-1)*1000,C288)</f>
        <v>74813</v>
      </c>
      <c r="Q288" s="1" t="str">
        <f>IF(LEFT(D288,1)="M","Male","Female")</f>
        <v>Female</v>
      </c>
      <c r="R288" s="1" t="str">
        <f>TRIM(E288)</f>
        <v>Production Technician II</v>
      </c>
      <c r="S288" s="1" t="str">
        <f>IF(G288="", "To be updated", IF(OR(G288="IT&amp;IS", G288="ITIS"), "IT/IS", G288))</f>
        <v xml:space="preserve">Production       </v>
      </c>
      <c r="T288" s="2">
        <f t="shared" si="20"/>
        <v>24</v>
      </c>
      <c r="U288" s="1">
        <f t="shared" si="21"/>
        <v>3</v>
      </c>
      <c r="V288" s="1">
        <f t="shared" ca="1" si="24"/>
        <v>40</v>
      </c>
    </row>
    <row r="289" spans="1:22" x14ac:dyDescent="0.25">
      <c r="A289" s="1">
        <v>10045</v>
      </c>
      <c r="B289" s="1" t="s">
        <v>103</v>
      </c>
      <c r="C289" s="1">
        <v>76029</v>
      </c>
      <c r="D289" s="1" t="s">
        <v>22</v>
      </c>
      <c r="E289" s="1" t="s">
        <v>41</v>
      </c>
      <c r="F289" s="1" t="s">
        <v>12</v>
      </c>
      <c r="G289" s="1" t="s">
        <v>16</v>
      </c>
      <c r="H289" s="1">
        <v>19</v>
      </c>
      <c r="I289" s="1">
        <v>4</v>
      </c>
      <c r="J289" s="1">
        <v>7</v>
      </c>
      <c r="M289" s="1" t="str">
        <f>SUBSTITUTE(TEXT(B289,"dd/mm/yyyy"),"-","/")</f>
        <v>03/15/1986</v>
      </c>
      <c r="N289" s="3">
        <f t="shared" si="22"/>
        <v>31486</v>
      </c>
      <c r="O289" s="3" t="str">
        <f t="shared" si="23"/>
        <v>15/03/1986</v>
      </c>
      <c r="P289" s="1">
        <f>IF(RIGHT(C289,1)="K", LEFT(C289,LEN(C289)-1)*1000,C289)</f>
        <v>76029</v>
      </c>
      <c r="Q289" s="1" t="str">
        <f>IF(LEFT(D289,1)="M","Male","Female")</f>
        <v>Male</v>
      </c>
      <c r="R289" s="1" t="str">
        <f>TRIM(E289)</f>
        <v>Network Engineer</v>
      </c>
      <c r="S289" s="1" t="str">
        <f>IF(G289="", "To be updated", IF(OR(G289="IT&amp;IS", G289="ITIS"), "IT/IS", G289))</f>
        <v>IT/IS</v>
      </c>
      <c r="T289" s="2">
        <f t="shared" si="20"/>
        <v>19</v>
      </c>
      <c r="U289" s="1">
        <f t="shared" si="21"/>
        <v>4</v>
      </c>
      <c r="V289" s="1">
        <f t="shared" ca="1" si="24"/>
        <v>39</v>
      </c>
    </row>
    <row r="290" spans="1:22" x14ac:dyDescent="0.25">
      <c r="A290" s="1">
        <v>10205</v>
      </c>
      <c r="B290" s="1" t="s">
        <v>104</v>
      </c>
      <c r="C290" s="1">
        <v>57859</v>
      </c>
      <c r="D290" s="1" t="s">
        <v>17</v>
      </c>
      <c r="E290" s="1" t="s">
        <v>32</v>
      </c>
      <c r="F290" s="1" t="s">
        <v>12</v>
      </c>
      <c r="G290" s="1" t="s">
        <v>33</v>
      </c>
      <c r="H290" s="1">
        <v>14</v>
      </c>
      <c r="I290" s="1">
        <v>3</v>
      </c>
      <c r="J290" s="1">
        <v>0</v>
      </c>
      <c r="M290" s="1" t="str">
        <f>SUBSTITUTE(TEXT(B290,"dd/mm/yyyy"),"-","/")</f>
        <v>03/15/1987</v>
      </c>
      <c r="N290" s="3">
        <f t="shared" si="22"/>
        <v>31851</v>
      </c>
      <c r="O290" s="3" t="str">
        <f t="shared" si="23"/>
        <v>15/03/1987</v>
      </c>
      <c r="P290" s="1">
        <f>IF(RIGHT(C290,1)="K", LEFT(C290,LEN(C290)-1)*1000,C290)</f>
        <v>57859</v>
      </c>
      <c r="Q290" s="1" t="str">
        <f>IF(LEFT(D290,1)="M","Male","Female")</f>
        <v>Female</v>
      </c>
      <c r="R290" s="1" t="str">
        <f>TRIM(E290)</f>
        <v>Area Sales Manager</v>
      </c>
      <c r="S290" s="1" t="str">
        <f>IF(G290="", "To be updated", IF(OR(G290="IT&amp;IS", G290="ITIS"), "IT/IS", G290))</f>
        <v>Sales</v>
      </c>
      <c r="T290" s="2">
        <f t="shared" si="20"/>
        <v>14</v>
      </c>
      <c r="U290" s="1">
        <f t="shared" si="21"/>
        <v>3</v>
      </c>
      <c r="V290" s="1">
        <f t="shared" ca="1" si="24"/>
        <v>38</v>
      </c>
    </row>
    <row r="291" spans="1:22" x14ac:dyDescent="0.25">
      <c r="A291" s="1">
        <v>10014</v>
      </c>
      <c r="B291" s="1" t="s">
        <v>100</v>
      </c>
      <c r="C291" s="1">
        <v>58523</v>
      </c>
      <c r="D291" s="1" t="s">
        <v>22</v>
      </c>
      <c r="E291" s="1" t="s">
        <v>11</v>
      </c>
      <c r="F291" s="1" t="s">
        <v>15</v>
      </c>
      <c r="G291" s="1" t="s">
        <v>13</v>
      </c>
      <c r="H291" s="1">
        <v>15</v>
      </c>
      <c r="I291" s="1">
        <v>5</v>
      </c>
      <c r="J291" s="1">
        <v>0</v>
      </c>
      <c r="M291" s="1" t="str">
        <f>SUBSTITUTE(TEXT(B291,"dd/mm/yyyy"),"-","/")</f>
        <v>01/31/1987</v>
      </c>
      <c r="N291" s="3">
        <f t="shared" si="22"/>
        <v>31808</v>
      </c>
      <c r="O291" s="3" t="str">
        <f t="shared" si="23"/>
        <v>31/01/1987</v>
      </c>
      <c r="P291" s="1">
        <f>IF(RIGHT(C291,1)="K", LEFT(C291,LEN(C291)-1)*1000,C291)</f>
        <v>58523</v>
      </c>
      <c r="Q291" s="1" t="str">
        <f>IF(LEFT(D291,1)="M","Male","Female")</f>
        <v>Male</v>
      </c>
      <c r="R291" s="1" t="str">
        <f>TRIM(E291)</f>
        <v>Production Technician I</v>
      </c>
      <c r="S291" s="1" t="str">
        <f>IF(G291="", "To be updated", IF(OR(G291="IT&amp;IS", G291="ITIS"), "IT/IS", G291))</f>
        <v xml:space="preserve">Production       </v>
      </c>
      <c r="T291" s="2">
        <f t="shared" si="20"/>
        <v>15</v>
      </c>
      <c r="U291" s="1">
        <f t="shared" si="21"/>
        <v>5</v>
      </c>
      <c r="V291" s="1">
        <f t="shared" ca="1" si="24"/>
        <v>38</v>
      </c>
    </row>
    <row r="292" spans="1:22" x14ac:dyDescent="0.25">
      <c r="A292" s="1">
        <v>10144</v>
      </c>
      <c r="B292" s="3">
        <v>25121</v>
      </c>
      <c r="C292" s="1">
        <v>88976</v>
      </c>
      <c r="D292" s="1" t="s">
        <v>22</v>
      </c>
      <c r="E292" s="1" t="s">
        <v>30</v>
      </c>
      <c r="F292" s="1" t="s">
        <v>12</v>
      </c>
      <c r="G292" s="1" t="s">
        <v>13</v>
      </c>
      <c r="H292" s="1">
        <v>20</v>
      </c>
      <c r="I292" s="1">
        <v>3</v>
      </c>
      <c r="J292" s="1">
        <v>0</v>
      </c>
      <c r="M292" s="1" t="str">
        <f>SUBSTITUTE(TEXT(B292,"dd/mm/yyyy"),"-","/")</f>
        <v>10/10/1968</v>
      </c>
      <c r="N292" s="3" t="str">
        <f t="shared" si="22"/>
        <v>10/10/1968</v>
      </c>
      <c r="O292" s="3" t="str">
        <f t="shared" si="23"/>
        <v>10/10/1968</v>
      </c>
      <c r="P292" s="1">
        <f>IF(RIGHT(C292,1)="K", LEFT(C292,LEN(C292)-1)*1000,C292)</f>
        <v>88976</v>
      </c>
      <c r="Q292" s="1" t="str">
        <f>IF(LEFT(D292,1)="M","Male","Female")</f>
        <v>Male</v>
      </c>
      <c r="R292" s="1" t="str">
        <f>TRIM(E292)</f>
        <v>Production Manager</v>
      </c>
      <c r="S292" s="1" t="str">
        <f>IF(G292="", "To be updated", IF(OR(G292="IT&amp;IS", G292="ITIS"), "IT/IS", G292))</f>
        <v xml:space="preserve">Production       </v>
      </c>
      <c r="T292" s="2">
        <f t="shared" si="20"/>
        <v>20</v>
      </c>
      <c r="U292" s="1">
        <f t="shared" si="21"/>
        <v>3</v>
      </c>
      <c r="V292" s="1">
        <f t="shared" ca="1" si="24"/>
        <v>56</v>
      </c>
    </row>
    <row r="293" spans="1:22" x14ac:dyDescent="0.25">
      <c r="A293" s="1">
        <v>10253</v>
      </c>
      <c r="B293" s="3">
        <v>32819</v>
      </c>
      <c r="C293" s="1">
        <v>55875</v>
      </c>
      <c r="D293" s="1" t="s">
        <v>22</v>
      </c>
      <c r="E293" s="1" t="s">
        <v>32</v>
      </c>
      <c r="F293" s="1" t="s">
        <v>12</v>
      </c>
      <c r="G293" s="1" t="s">
        <v>33</v>
      </c>
      <c r="H293" s="1">
        <v>22</v>
      </c>
      <c r="I293" s="1">
        <v>4</v>
      </c>
      <c r="J293" s="1">
        <v>0</v>
      </c>
      <c r="M293" s="1" t="str">
        <f>SUBSTITUTE(TEXT(B293,"dd/mm/yyyy"),"-","/")</f>
        <v>07/11/1989</v>
      </c>
      <c r="N293" s="3" t="str">
        <f t="shared" si="22"/>
        <v>07/11/1989</v>
      </c>
      <c r="O293" s="3" t="str">
        <f t="shared" si="23"/>
        <v>07/11/1989</v>
      </c>
      <c r="P293" s="1">
        <f>IF(RIGHT(C293,1)="K", LEFT(C293,LEN(C293)-1)*1000,C293)</f>
        <v>55875</v>
      </c>
      <c r="Q293" s="1" t="str">
        <f>IF(LEFT(D293,1)="M","Male","Female")</f>
        <v>Male</v>
      </c>
      <c r="R293" s="1" t="str">
        <f>TRIM(E293)</f>
        <v>Area Sales Manager</v>
      </c>
      <c r="S293" s="1" t="str">
        <f>IF(G293="", "To be updated", IF(OR(G293="IT&amp;IS", G293="ITIS"), "IT/IS", G293))</f>
        <v>Sales</v>
      </c>
      <c r="T293" s="2">
        <f t="shared" si="20"/>
        <v>22</v>
      </c>
      <c r="U293" s="1">
        <f t="shared" si="21"/>
        <v>4</v>
      </c>
      <c r="V293" s="1">
        <f t="shared" ca="1" si="24"/>
        <v>35</v>
      </c>
    </row>
    <row r="294" spans="1:22" x14ac:dyDescent="0.25">
      <c r="A294" s="1">
        <v>10118</v>
      </c>
      <c r="B294" s="3">
        <v>31601</v>
      </c>
      <c r="C294" s="1">
        <v>113999</v>
      </c>
      <c r="D294" s="1" t="s">
        <v>22</v>
      </c>
      <c r="E294" s="1" t="s">
        <v>26</v>
      </c>
      <c r="F294" s="1" t="s">
        <v>25</v>
      </c>
      <c r="G294" s="1" t="s">
        <v>16</v>
      </c>
      <c r="H294" s="1">
        <v>14</v>
      </c>
      <c r="I294" s="1">
        <v>3</v>
      </c>
      <c r="J294" s="1">
        <v>7</v>
      </c>
      <c r="M294" s="1" t="str">
        <f>SUBSTITUTE(TEXT(B294,"dd/mm/yyyy"),"-","/")</f>
        <v>08/07/1986</v>
      </c>
      <c r="N294" s="3" t="str">
        <f t="shared" si="22"/>
        <v>08/07/1986</v>
      </c>
      <c r="O294" s="3" t="str">
        <f t="shared" si="23"/>
        <v>08/07/1986</v>
      </c>
      <c r="P294" s="1">
        <f>IF(RIGHT(C294,1)="K", LEFT(C294,LEN(C294)-1)*1000,C294)</f>
        <v>113999</v>
      </c>
      <c r="Q294" s="1" t="str">
        <f>IF(LEFT(D294,1)="M","Male","Female")</f>
        <v>Male</v>
      </c>
      <c r="R294" s="1" t="str">
        <f>TRIM(E294)</f>
        <v>Database Administrator</v>
      </c>
      <c r="S294" s="1" t="str">
        <f>IF(G294="", "To be updated", IF(OR(G294="IT&amp;IS", G294="ITIS"), "IT/IS", G294))</f>
        <v>IT/IS</v>
      </c>
      <c r="T294" s="2">
        <f t="shared" si="20"/>
        <v>14</v>
      </c>
      <c r="U294" s="1">
        <f t="shared" si="21"/>
        <v>3</v>
      </c>
      <c r="V294" s="1">
        <f t="shared" ca="1" si="24"/>
        <v>39</v>
      </c>
    </row>
    <row r="295" spans="1:22" x14ac:dyDescent="0.25">
      <c r="A295" s="1">
        <v>10022</v>
      </c>
      <c r="B295" s="3">
        <v>31477</v>
      </c>
      <c r="C295" s="1">
        <v>49773</v>
      </c>
      <c r="D295" s="1" t="s">
        <v>17</v>
      </c>
      <c r="E295" s="1" t="s">
        <v>11</v>
      </c>
      <c r="F295" s="1" t="s">
        <v>25</v>
      </c>
      <c r="G295" s="1" t="s">
        <v>13</v>
      </c>
      <c r="H295" s="1">
        <v>15</v>
      </c>
      <c r="I295" s="1">
        <v>5</v>
      </c>
      <c r="J295" s="1">
        <v>0</v>
      </c>
      <c r="M295" s="1" t="str">
        <f>SUBSTITUTE(TEXT(B295,"dd/mm/yyyy"),"-","/")</f>
        <v>06/03/1986</v>
      </c>
      <c r="N295" s="3" t="str">
        <f t="shared" si="22"/>
        <v>06/03/1986</v>
      </c>
      <c r="O295" s="3" t="str">
        <f t="shared" si="23"/>
        <v>06/03/1986</v>
      </c>
      <c r="P295" s="1">
        <f>IF(RIGHT(C295,1)="K", LEFT(C295,LEN(C295)-1)*1000,C295)</f>
        <v>49773</v>
      </c>
      <c r="Q295" s="1" t="str">
        <f>IF(LEFT(D295,1)="M","Male","Female")</f>
        <v>Female</v>
      </c>
      <c r="R295" s="1" t="str">
        <f>TRIM(E295)</f>
        <v>Production Technician I</v>
      </c>
      <c r="S295" s="1" t="str">
        <f>IF(G295="", "To be updated", IF(OR(G295="IT&amp;IS", G295="ITIS"), "IT/IS", G295))</f>
        <v xml:space="preserve">Production       </v>
      </c>
      <c r="T295" s="2">
        <f t="shared" si="20"/>
        <v>15</v>
      </c>
      <c r="U295" s="1">
        <f t="shared" si="21"/>
        <v>5</v>
      </c>
      <c r="V295" s="1">
        <f t="shared" ca="1" si="24"/>
        <v>39</v>
      </c>
    </row>
    <row r="296" spans="1:22" x14ac:dyDescent="0.25">
      <c r="A296" s="1">
        <v>10183</v>
      </c>
      <c r="B296" s="3">
        <v>31202</v>
      </c>
      <c r="C296" s="1">
        <v>62068</v>
      </c>
      <c r="D296" s="1" t="s">
        <v>17</v>
      </c>
      <c r="E296" s="1" t="s">
        <v>11</v>
      </c>
      <c r="F296" s="1" t="s">
        <v>12</v>
      </c>
      <c r="G296" s="1" t="s">
        <v>13</v>
      </c>
      <c r="H296" s="1">
        <v>13</v>
      </c>
      <c r="I296" s="1">
        <v>3</v>
      </c>
      <c r="J296" s="1">
        <v>0</v>
      </c>
      <c r="M296" s="1" t="str">
        <f>SUBSTITUTE(TEXT(B296,"dd/mm/yyyy"),"-","/")</f>
        <v>04/06/1985</v>
      </c>
      <c r="N296" s="3" t="str">
        <f t="shared" si="22"/>
        <v>04/06/1985</v>
      </c>
      <c r="O296" s="3" t="str">
        <f t="shared" si="23"/>
        <v>04/06/1985</v>
      </c>
      <c r="P296" s="1">
        <f>IF(RIGHT(C296,1)="K", LEFT(C296,LEN(C296)-1)*1000,C296)</f>
        <v>62068</v>
      </c>
      <c r="Q296" s="1" t="str">
        <f>IF(LEFT(D296,1)="M","Male","Female")</f>
        <v>Female</v>
      </c>
      <c r="R296" s="1" t="str">
        <f>TRIM(E296)</f>
        <v>Production Technician I</v>
      </c>
      <c r="S296" s="1" t="str">
        <f>IF(G296="", "To be updated", IF(OR(G296="IT&amp;IS", G296="ITIS"), "IT/IS", G296))</f>
        <v xml:space="preserve">Production       </v>
      </c>
      <c r="T296" s="2">
        <f t="shared" si="20"/>
        <v>13</v>
      </c>
      <c r="U296" s="1">
        <f t="shared" si="21"/>
        <v>3</v>
      </c>
      <c r="V296" s="1">
        <f t="shared" ca="1" si="24"/>
        <v>40</v>
      </c>
    </row>
    <row r="297" spans="1:22" x14ac:dyDescent="0.25">
      <c r="A297" s="1">
        <v>10190</v>
      </c>
      <c r="B297" s="3">
        <v>28035</v>
      </c>
      <c r="C297" s="1">
        <v>66541</v>
      </c>
      <c r="D297" s="1" t="s">
        <v>22</v>
      </c>
      <c r="E297" s="1" t="s">
        <v>18</v>
      </c>
      <c r="F297" s="1" t="s">
        <v>12</v>
      </c>
      <c r="G297" s="1" t="s">
        <v>13</v>
      </c>
      <c r="H297" s="1">
        <v>13</v>
      </c>
      <c r="I297" s="1">
        <v>5</v>
      </c>
      <c r="J297" s="1">
        <v>0</v>
      </c>
      <c r="M297" s="1" t="str">
        <f>SUBSTITUTE(TEXT(B297,"dd/mm/yyyy"),"-","/")</f>
        <v>02/10/1976</v>
      </c>
      <c r="N297" s="3" t="str">
        <f t="shared" si="22"/>
        <v>02/10/1976</v>
      </c>
      <c r="O297" s="3" t="str">
        <f t="shared" si="23"/>
        <v>02/10/1976</v>
      </c>
      <c r="P297" s="1">
        <f>IF(RIGHT(C297,1)="K", LEFT(C297,LEN(C297)-1)*1000,C297)</f>
        <v>66541</v>
      </c>
      <c r="Q297" s="1" t="str">
        <f>IF(LEFT(D297,1)="M","Male","Female")</f>
        <v>Male</v>
      </c>
      <c r="R297" s="1" t="str">
        <f>TRIM(E297)</f>
        <v>Production Technician II</v>
      </c>
      <c r="S297" s="1" t="str">
        <f>IF(G297="", "To be updated", IF(OR(G297="IT&amp;IS", G297="ITIS"), "IT/IS", G297))</f>
        <v xml:space="preserve">Production       </v>
      </c>
      <c r="T297" s="2">
        <f t="shared" si="20"/>
        <v>13</v>
      </c>
      <c r="U297" s="1">
        <f t="shared" si="21"/>
        <v>5</v>
      </c>
      <c r="V297" s="1">
        <f t="shared" ca="1" si="24"/>
        <v>48</v>
      </c>
    </row>
    <row r="298" spans="1:22" x14ac:dyDescent="0.25">
      <c r="A298" s="1">
        <v>10274</v>
      </c>
      <c r="B298" s="1" t="s">
        <v>99</v>
      </c>
      <c r="C298" s="1">
        <v>80512</v>
      </c>
      <c r="D298" s="1" t="s">
        <v>17</v>
      </c>
      <c r="E298" s="1" t="s">
        <v>30</v>
      </c>
      <c r="F298" s="1" t="s">
        <v>15</v>
      </c>
      <c r="G298" s="1" t="s">
        <v>13</v>
      </c>
      <c r="H298" s="1">
        <v>18</v>
      </c>
      <c r="I298" s="1">
        <v>3</v>
      </c>
      <c r="J298" s="1">
        <v>0</v>
      </c>
      <c r="M298" s="1" t="str">
        <f>SUBSTITUTE(TEXT(B298,"dd/mm/yyyy"),"-","/")</f>
        <v>11/14/1955</v>
      </c>
      <c r="N298" s="3">
        <f t="shared" si="22"/>
        <v>20407</v>
      </c>
      <c r="O298" s="3" t="str">
        <f t="shared" si="23"/>
        <v>14/11/1955</v>
      </c>
      <c r="P298" s="1">
        <f>IF(RIGHT(C298,1)="K", LEFT(C298,LEN(C298)-1)*1000,C298)</f>
        <v>80512</v>
      </c>
      <c r="Q298" s="1" t="str">
        <f>IF(LEFT(D298,1)="M","Male","Female")</f>
        <v>Female</v>
      </c>
      <c r="R298" s="1" t="str">
        <f>TRIM(E298)</f>
        <v>Production Manager</v>
      </c>
      <c r="S298" s="1" t="str">
        <f>IF(G298="", "To be updated", IF(OR(G298="IT&amp;IS", G298="ITIS"), "IT/IS", G298))</f>
        <v xml:space="preserve">Production       </v>
      </c>
      <c r="T298" s="2">
        <f t="shared" si="20"/>
        <v>18</v>
      </c>
      <c r="U298" s="1">
        <f t="shared" si="21"/>
        <v>3</v>
      </c>
      <c r="V298" s="1">
        <f t="shared" ca="1" si="24"/>
        <v>69</v>
      </c>
    </row>
    <row r="299" spans="1:22" x14ac:dyDescent="0.25">
      <c r="A299" s="1">
        <v>10293</v>
      </c>
      <c r="B299" s="3">
        <v>29259</v>
      </c>
      <c r="C299" s="1">
        <v>50274</v>
      </c>
      <c r="D299" s="1" t="s">
        <v>17</v>
      </c>
      <c r="E299" s="1" t="s">
        <v>11</v>
      </c>
      <c r="F299" s="1" t="s">
        <v>15</v>
      </c>
      <c r="G299" s="1" t="s">
        <v>13</v>
      </c>
      <c r="H299" s="1">
        <v>15</v>
      </c>
      <c r="I299" s="1">
        <v>3</v>
      </c>
      <c r="J299" s="1">
        <v>0</v>
      </c>
      <c r="M299" s="1" t="str">
        <f>SUBSTITUTE(TEXT(B299,"dd/mm/yyyy"),"-","/")</f>
        <v>08/02/1980</v>
      </c>
      <c r="N299" s="3" t="str">
        <f t="shared" si="22"/>
        <v>08/02/1980</v>
      </c>
      <c r="O299" s="3" t="str">
        <f t="shared" si="23"/>
        <v>08/02/1980</v>
      </c>
      <c r="P299" s="1">
        <f>IF(RIGHT(C299,1)="K", LEFT(C299,LEN(C299)-1)*1000,C299)</f>
        <v>50274</v>
      </c>
      <c r="Q299" s="1" t="str">
        <f>IF(LEFT(D299,1)="M","Male","Female")</f>
        <v>Female</v>
      </c>
      <c r="R299" s="1" t="str">
        <f>TRIM(E299)</f>
        <v>Production Technician I</v>
      </c>
      <c r="S299" s="1" t="str">
        <f>IF(G299="", "To be updated", IF(OR(G299="IT&amp;IS", G299="ITIS"), "IT/IS", G299))</f>
        <v xml:space="preserve">Production       </v>
      </c>
      <c r="T299" s="2">
        <f t="shared" si="20"/>
        <v>15</v>
      </c>
      <c r="U299" s="1">
        <f t="shared" si="21"/>
        <v>3</v>
      </c>
      <c r="V299" s="1">
        <f t="shared" ca="1" si="24"/>
        <v>45</v>
      </c>
    </row>
    <row r="300" spans="1:22" x14ac:dyDescent="0.25">
      <c r="A300" s="1">
        <v>10172</v>
      </c>
      <c r="B300" s="3">
        <v>29805</v>
      </c>
      <c r="C300" s="1">
        <v>84903</v>
      </c>
      <c r="D300" s="1" t="s">
        <v>22</v>
      </c>
      <c r="E300" s="1" t="s">
        <v>47</v>
      </c>
      <c r="F300" s="1" t="s">
        <v>12</v>
      </c>
      <c r="G300" s="1" t="s">
        <v>16</v>
      </c>
      <c r="H300" s="1">
        <v>11</v>
      </c>
      <c r="I300" s="1">
        <v>4</v>
      </c>
      <c r="J300" s="1">
        <v>7</v>
      </c>
      <c r="M300" s="1" t="str">
        <f>SUBSTITUTE(TEXT(B300,"dd/mm/yyyy"),"-","/")</f>
        <v>07/08/1981</v>
      </c>
      <c r="N300" s="3" t="str">
        <f t="shared" si="22"/>
        <v>07/08/1981</v>
      </c>
      <c r="O300" s="3" t="str">
        <f t="shared" si="23"/>
        <v>07/08/1981</v>
      </c>
      <c r="P300" s="1">
        <f>IF(RIGHT(C300,1)="K", LEFT(C300,LEN(C300)-1)*1000,C300)</f>
        <v>84903</v>
      </c>
      <c r="Q300" s="1" t="str">
        <f>IF(LEFT(D300,1)="M","Male","Female")</f>
        <v>Male</v>
      </c>
      <c r="R300" s="1" t="str">
        <f>TRIM(E300)</f>
        <v>Senior BI Developer</v>
      </c>
      <c r="S300" s="1" t="str">
        <f>IF(G300="", "To be updated", IF(OR(G300="IT&amp;IS", G300="ITIS"), "IT/IS", G300))</f>
        <v>IT/IS</v>
      </c>
      <c r="T300" s="2">
        <f t="shared" si="20"/>
        <v>11</v>
      </c>
      <c r="U300" s="1">
        <f t="shared" si="21"/>
        <v>4</v>
      </c>
      <c r="V300" s="1">
        <f t="shared" ca="1" si="24"/>
        <v>44</v>
      </c>
    </row>
    <row r="301" spans="1:22" x14ac:dyDescent="0.25">
      <c r="A301" s="1">
        <v>10127</v>
      </c>
      <c r="B301" s="3">
        <v>28526</v>
      </c>
      <c r="C301" s="1">
        <v>107226</v>
      </c>
      <c r="D301" s="1" t="s">
        <v>17</v>
      </c>
      <c r="E301" s="1" t="s">
        <v>37</v>
      </c>
      <c r="F301" s="1" t="s">
        <v>12</v>
      </c>
      <c r="G301" s="1" t="s">
        <v>16</v>
      </c>
      <c r="H301" s="1">
        <v>14</v>
      </c>
      <c r="I301" s="1">
        <v>4</v>
      </c>
      <c r="J301" s="1">
        <v>8</v>
      </c>
      <c r="M301" s="1" t="str">
        <f>SUBSTITUTE(TEXT(B301,"dd/mm/yyyy"),"-","/")</f>
        <v>05/02/1978</v>
      </c>
      <c r="N301" s="3" t="str">
        <f t="shared" si="22"/>
        <v>05/02/1978</v>
      </c>
      <c r="O301" s="3" t="str">
        <f t="shared" si="23"/>
        <v>05/02/1978</v>
      </c>
      <c r="P301" s="1">
        <f>IF(RIGHT(C301,1)="K", LEFT(C301,LEN(C301)-1)*1000,C301)</f>
        <v>107226</v>
      </c>
      <c r="Q301" s="1" t="str">
        <f>IF(LEFT(D301,1)="M","Male","Female")</f>
        <v>Female</v>
      </c>
      <c r="R301" s="1" t="str">
        <f>TRIM(E301)</f>
        <v>Sr. Network Engineer</v>
      </c>
      <c r="S301" s="1" t="str">
        <f>IF(G301="", "To be updated", IF(OR(G301="IT&amp;IS", G301="ITIS"), "IT/IS", G301))</f>
        <v>IT/IS</v>
      </c>
      <c r="T301" s="2">
        <f t="shared" si="20"/>
        <v>14</v>
      </c>
      <c r="U301" s="1">
        <f t="shared" si="21"/>
        <v>4</v>
      </c>
      <c r="V301" s="1">
        <f t="shared" ca="1" si="24"/>
        <v>47</v>
      </c>
    </row>
    <row r="302" spans="1:22" x14ac:dyDescent="0.25">
      <c r="A302" s="1">
        <v>10072</v>
      </c>
      <c r="B302" s="1" t="s">
        <v>96</v>
      </c>
      <c r="C302" s="1">
        <v>58371</v>
      </c>
      <c r="D302" s="1" t="s">
        <v>22</v>
      </c>
      <c r="E302" s="1" t="s">
        <v>11</v>
      </c>
      <c r="F302" s="1" t="s">
        <v>15</v>
      </c>
      <c r="G302" s="1" t="s">
        <v>13</v>
      </c>
      <c r="H302" s="1">
        <v>13</v>
      </c>
      <c r="I302" s="1">
        <v>5</v>
      </c>
      <c r="J302" s="1">
        <v>0</v>
      </c>
      <c r="M302" s="1" t="str">
        <f>SUBSTITUTE(TEXT(B302,"dd/mm/yyyy"),"-","/")</f>
        <v>05/24/1987</v>
      </c>
      <c r="N302" s="3">
        <f t="shared" si="22"/>
        <v>31921</v>
      </c>
      <c r="O302" s="3" t="str">
        <f t="shared" si="23"/>
        <v>24/05/1987</v>
      </c>
      <c r="P302" s="1">
        <f>IF(RIGHT(C302,1)="K", LEFT(C302,LEN(C302)-1)*1000,C302)</f>
        <v>58371</v>
      </c>
      <c r="Q302" s="1" t="str">
        <f>IF(LEFT(D302,1)="M","Male","Female")</f>
        <v>Male</v>
      </c>
      <c r="R302" s="1" t="str">
        <f>TRIM(E302)</f>
        <v>Production Technician I</v>
      </c>
      <c r="S302" s="1" t="str">
        <f>IF(G302="", "To be updated", IF(OR(G302="IT&amp;IS", G302="ITIS"), "IT/IS", G302))</f>
        <v xml:space="preserve">Production       </v>
      </c>
      <c r="T302" s="2">
        <f t="shared" si="20"/>
        <v>13</v>
      </c>
      <c r="U302" s="1">
        <f t="shared" si="21"/>
        <v>5</v>
      </c>
      <c r="V302" s="1">
        <f t="shared" ca="1" si="24"/>
        <v>38</v>
      </c>
    </row>
    <row r="303" spans="1:22" x14ac:dyDescent="0.25">
      <c r="A303" s="1">
        <v>10048</v>
      </c>
      <c r="B303" s="3">
        <v>23994</v>
      </c>
      <c r="C303" s="1">
        <v>55140</v>
      </c>
      <c r="D303" s="1" t="s">
        <v>22</v>
      </c>
      <c r="E303" s="1" t="s">
        <v>11</v>
      </c>
      <c r="F303" s="1" t="s">
        <v>15</v>
      </c>
      <c r="G303" s="1" t="s">
        <v>13</v>
      </c>
      <c r="H303" s="1">
        <v>13</v>
      </c>
      <c r="I303" s="1">
        <v>3</v>
      </c>
      <c r="J303" s="1">
        <v>0</v>
      </c>
      <c r="M303" s="1" t="str">
        <f>SUBSTITUTE(TEXT(B303,"dd/mm/yyyy"),"-","/")</f>
        <v>09/09/1965</v>
      </c>
      <c r="N303" s="3" t="str">
        <f t="shared" si="22"/>
        <v>09/09/1965</v>
      </c>
      <c r="O303" s="3" t="str">
        <f t="shared" si="23"/>
        <v>09/09/1965</v>
      </c>
      <c r="P303" s="1">
        <f>IF(RIGHT(C303,1)="K", LEFT(C303,LEN(C303)-1)*1000,C303)</f>
        <v>55140</v>
      </c>
      <c r="Q303" s="1" t="str">
        <f>IF(LEFT(D303,1)="M","Male","Female")</f>
        <v>Male</v>
      </c>
      <c r="R303" s="1" t="str">
        <f>TRIM(E303)</f>
        <v>Production Technician I</v>
      </c>
      <c r="S303" s="1" t="str">
        <f>IF(G303="", "To be updated", IF(OR(G303="IT&amp;IS", G303="ITIS"), "IT/IS", G303))</f>
        <v xml:space="preserve">Production       </v>
      </c>
      <c r="T303" s="2">
        <f t="shared" si="20"/>
        <v>13</v>
      </c>
      <c r="U303" s="1">
        <f t="shared" si="21"/>
        <v>3</v>
      </c>
      <c r="V303" s="1">
        <f t="shared" ca="1" si="24"/>
        <v>60</v>
      </c>
    </row>
    <row r="304" spans="1:22" x14ac:dyDescent="0.25">
      <c r="A304" s="1">
        <v>10204</v>
      </c>
      <c r="B304" s="1" t="s">
        <v>97</v>
      </c>
      <c r="C304" s="1">
        <v>58062</v>
      </c>
      <c r="D304" s="1" t="s">
        <v>17</v>
      </c>
      <c r="E304" s="1" t="s">
        <v>11</v>
      </c>
      <c r="F304" s="1" t="s">
        <v>15</v>
      </c>
      <c r="G304" s="1" t="s">
        <v>13</v>
      </c>
      <c r="H304" s="1">
        <v>12</v>
      </c>
      <c r="I304" s="1">
        <v>5</v>
      </c>
      <c r="J304" s="1">
        <v>0</v>
      </c>
      <c r="M304" s="1" t="str">
        <f>SUBSTITUTE(TEXT(B304,"dd/mm/yyyy"),"-","/")</f>
        <v>07/30/1983</v>
      </c>
      <c r="N304" s="3">
        <f t="shared" si="22"/>
        <v>30527</v>
      </c>
      <c r="O304" s="3" t="str">
        <f t="shared" si="23"/>
        <v>30/07/1983</v>
      </c>
      <c r="P304" s="1">
        <f>IF(RIGHT(C304,1)="K", LEFT(C304,LEN(C304)-1)*1000,C304)</f>
        <v>58062</v>
      </c>
      <c r="Q304" s="1" t="str">
        <f>IF(LEFT(D304,1)="M","Male","Female")</f>
        <v>Female</v>
      </c>
      <c r="R304" s="1" t="str">
        <f>TRIM(E304)</f>
        <v>Production Technician I</v>
      </c>
      <c r="S304" s="1" t="str">
        <f>IF(G304="", "To be updated", IF(OR(G304="IT&amp;IS", G304="ITIS"), "IT/IS", G304))</f>
        <v xml:space="preserve">Production       </v>
      </c>
      <c r="T304" s="2">
        <f t="shared" si="20"/>
        <v>12</v>
      </c>
      <c r="U304" s="1">
        <f t="shared" si="21"/>
        <v>5</v>
      </c>
      <c r="V304" s="1">
        <f t="shared" ca="1" si="24"/>
        <v>42</v>
      </c>
    </row>
    <row r="305" spans="1:22" x14ac:dyDescent="0.25">
      <c r="A305" s="1">
        <v>10264</v>
      </c>
      <c r="B305" s="3">
        <v>25244</v>
      </c>
      <c r="C305" s="1">
        <v>59728</v>
      </c>
      <c r="D305" s="1" t="s">
        <v>17</v>
      </c>
      <c r="E305" s="1" t="s">
        <v>11</v>
      </c>
      <c r="F305" s="1" t="s">
        <v>15</v>
      </c>
      <c r="G305" s="1" t="s">
        <v>13</v>
      </c>
      <c r="H305" s="1">
        <v>11</v>
      </c>
      <c r="I305" s="1">
        <v>4</v>
      </c>
      <c r="J305" s="1">
        <v>0</v>
      </c>
      <c r="M305" s="1" t="str">
        <f>SUBSTITUTE(TEXT(B305,"dd/mm/yyyy"),"-","/")</f>
        <v>10/02/1969</v>
      </c>
      <c r="N305" s="3" t="str">
        <f t="shared" si="22"/>
        <v>10/02/1969</v>
      </c>
      <c r="O305" s="3" t="str">
        <f t="shared" si="23"/>
        <v>10/02/1969</v>
      </c>
      <c r="P305" s="1">
        <f>IF(RIGHT(C305,1)="K", LEFT(C305,LEN(C305)-1)*1000,C305)</f>
        <v>59728</v>
      </c>
      <c r="Q305" s="1" t="str">
        <f>IF(LEFT(D305,1)="M","Male","Female")</f>
        <v>Female</v>
      </c>
      <c r="R305" s="1" t="str">
        <f>TRIM(E305)</f>
        <v>Production Technician I</v>
      </c>
      <c r="S305" s="1" t="str">
        <f>IF(G305="", "To be updated", IF(OR(G305="IT&amp;IS", G305="ITIS"), "IT/IS", G305))</f>
        <v xml:space="preserve">Production       </v>
      </c>
      <c r="T305" s="2">
        <f t="shared" si="20"/>
        <v>11</v>
      </c>
      <c r="U305" s="1">
        <f t="shared" si="21"/>
        <v>4</v>
      </c>
      <c r="V305" s="1">
        <f t="shared" ca="1" si="24"/>
        <v>56</v>
      </c>
    </row>
    <row r="306" spans="1:22" x14ac:dyDescent="0.25">
      <c r="A306" s="1">
        <v>10033</v>
      </c>
      <c r="B306" s="3">
        <v>21377</v>
      </c>
      <c r="C306" s="1">
        <v>70507</v>
      </c>
      <c r="D306" s="1" t="s">
        <v>22</v>
      </c>
      <c r="E306" s="1" t="s">
        <v>18</v>
      </c>
      <c r="F306" s="1" t="s">
        <v>15</v>
      </c>
      <c r="G306" s="1" t="s">
        <v>13</v>
      </c>
      <c r="H306" s="1">
        <v>14</v>
      </c>
      <c r="I306" s="1">
        <v>3</v>
      </c>
      <c r="J306" s="1">
        <v>0</v>
      </c>
      <c r="M306" s="1" t="str">
        <f>SUBSTITUTE(TEXT(B306,"dd/mm/yyyy"),"-","/")</f>
        <v>11/07/1958</v>
      </c>
      <c r="N306" s="3" t="str">
        <f t="shared" si="22"/>
        <v>11/07/1958</v>
      </c>
      <c r="O306" s="3" t="str">
        <f t="shared" si="23"/>
        <v>11/07/1958</v>
      </c>
      <c r="P306" s="1">
        <f>IF(RIGHT(C306,1)="K", LEFT(C306,LEN(C306)-1)*1000,C306)</f>
        <v>70507</v>
      </c>
      <c r="Q306" s="1" t="str">
        <f>IF(LEFT(D306,1)="M","Male","Female")</f>
        <v>Male</v>
      </c>
      <c r="R306" s="1" t="str">
        <f>TRIM(E306)</f>
        <v>Production Technician II</v>
      </c>
      <c r="S306" s="1" t="str">
        <f>IF(G306="", "To be updated", IF(OR(G306="IT&amp;IS", G306="ITIS"), "IT/IS", G306))</f>
        <v xml:space="preserve">Production       </v>
      </c>
      <c r="T306" s="2">
        <f t="shared" si="20"/>
        <v>14</v>
      </c>
      <c r="U306" s="1">
        <f t="shared" si="21"/>
        <v>3</v>
      </c>
      <c r="V306" s="1">
        <f t="shared" ca="1" si="24"/>
        <v>67</v>
      </c>
    </row>
    <row r="307" spans="1:22" x14ac:dyDescent="0.25">
      <c r="A307" s="1">
        <v>10174</v>
      </c>
      <c r="B307" s="1" t="s">
        <v>98</v>
      </c>
      <c r="C307" s="1">
        <v>60446</v>
      </c>
      <c r="D307" s="1" t="s">
        <v>17</v>
      </c>
      <c r="E307" s="1" t="s">
        <v>18</v>
      </c>
      <c r="F307" s="1" t="s">
        <v>12</v>
      </c>
      <c r="G307" s="1" t="s">
        <v>13</v>
      </c>
      <c r="H307" s="1">
        <v>13</v>
      </c>
      <c r="I307" s="1">
        <v>4</v>
      </c>
      <c r="J307" s="1">
        <v>0</v>
      </c>
      <c r="M307" s="1" t="str">
        <f>SUBSTITUTE(TEXT(B307,"dd/mm/yyyy"),"-","/")</f>
        <v>04/20/1985</v>
      </c>
      <c r="N307" s="3">
        <f t="shared" si="22"/>
        <v>31157</v>
      </c>
      <c r="O307" s="3" t="str">
        <f t="shared" si="23"/>
        <v>20/04/1985</v>
      </c>
      <c r="P307" s="1">
        <f>IF(RIGHT(C307,1)="K", LEFT(C307,LEN(C307)-1)*1000,C307)</f>
        <v>60446</v>
      </c>
      <c r="Q307" s="1" t="str">
        <f>IF(LEFT(D307,1)="M","Male","Female")</f>
        <v>Female</v>
      </c>
      <c r="R307" s="1" t="str">
        <f>TRIM(E307)</f>
        <v>Production Technician II</v>
      </c>
      <c r="S307" s="1" t="str">
        <f>IF(G307="", "To be updated", IF(OR(G307="IT&amp;IS", G307="ITIS"), "IT/IS", G307))</f>
        <v xml:space="preserve">Production       </v>
      </c>
      <c r="T307" s="2">
        <f t="shared" si="20"/>
        <v>13</v>
      </c>
      <c r="U307" s="1">
        <f t="shared" si="21"/>
        <v>4</v>
      </c>
      <c r="V307" s="1">
        <f t="shared" ca="1" si="24"/>
        <v>40</v>
      </c>
    </row>
    <row r="308" spans="1:22" x14ac:dyDescent="0.25">
      <c r="A308" s="1">
        <v>10135</v>
      </c>
      <c r="B308" s="3">
        <v>31356</v>
      </c>
      <c r="C308" s="1">
        <v>65893</v>
      </c>
      <c r="D308" s="1" t="s">
        <v>22</v>
      </c>
      <c r="E308" s="1" t="s">
        <v>18</v>
      </c>
      <c r="F308" s="1" t="s">
        <v>12</v>
      </c>
      <c r="G308" s="1" t="s">
        <v>13</v>
      </c>
      <c r="H308" s="1">
        <v>13</v>
      </c>
      <c r="I308" s="1">
        <v>4</v>
      </c>
      <c r="J308" s="1">
        <v>0</v>
      </c>
      <c r="M308" s="1" t="str">
        <f>SUBSTITUTE(TEXT(B308,"dd/mm/yyyy"),"-","/")</f>
        <v>05/11/1985</v>
      </c>
      <c r="N308" s="3" t="str">
        <f t="shared" si="22"/>
        <v>05/11/1985</v>
      </c>
      <c r="O308" s="3" t="str">
        <f t="shared" si="23"/>
        <v>05/11/1985</v>
      </c>
      <c r="P308" s="1">
        <f>IF(RIGHT(C308,1)="K", LEFT(C308,LEN(C308)-1)*1000,C308)</f>
        <v>65893</v>
      </c>
      <c r="Q308" s="1" t="str">
        <f>IF(LEFT(D308,1)="M","Male","Female")</f>
        <v>Male</v>
      </c>
      <c r="R308" s="1" t="str">
        <f>TRIM(E308)</f>
        <v>Production Technician II</v>
      </c>
      <c r="S308" s="1" t="str">
        <f>IF(G308="", "To be updated", IF(OR(G308="IT&amp;IS", G308="ITIS"), "IT/IS", G308))</f>
        <v xml:space="preserve">Production       </v>
      </c>
      <c r="T308" s="2">
        <f t="shared" si="20"/>
        <v>13</v>
      </c>
      <c r="U308" s="1">
        <f t="shared" si="21"/>
        <v>4</v>
      </c>
      <c r="V308" s="1">
        <f t="shared" ca="1" si="24"/>
        <v>39</v>
      </c>
    </row>
    <row r="309" spans="1:22" x14ac:dyDescent="0.25">
      <c r="A309" s="1">
        <v>10301</v>
      </c>
      <c r="B309" s="3">
        <v>30046</v>
      </c>
      <c r="C309" s="1">
        <v>48513</v>
      </c>
      <c r="D309" s="1" t="s">
        <v>19</v>
      </c>
      <c r="E309" s="1" t="s">
        <v>11</v>
      </c>
      <c r="F309" s="1" t="s">
        <v>15</v>
      </c>
      <c r="G309" s="1" t="s">
        <v>13</v>
      </c>
      <c r="H309" s="1">
        <v>13</v>
      </c>
      <c r="I309" s="1">
        <v>2</v>
      </c>
      <c r="J309" s="1">
        <v>0</v>
      </c>
      <c r="M309" s="1" t="str">
        <f>SUBSTITUTE(TEXT(B309,"dd/mm/yyyy"),"-","/")</f>
        <v>05/04/1982</v>
      </c>
      <c r="N309" s="3" t="str">
        <f t="shared" si="22"/>
        <v>05/04/1982</v>
      </c>
      <c r="O309" s="3" t="str">
        <f t="shared" si="23"/>
        <v>05/04/1982</v>
      </c>
      <c r="P309" s="1">
        <f>IF(RIGHT(C309,1)="K", LEFT(C309,LEN(C309)-1)*1000,C309)</f>
        <v>48513</v>
      </c>
      <c r="Q309" s="1" t="str">
        <f>IF(LEFT(D309,1)="M","Male","Female")</f>
        <v>Female</v>
      </c>
      <c r="R309" s="1" t="str">
        <f>TRIM(E309)</f>
        <v>Production Technician I</v>
      </c>
      <c r="S309" s="1" t="str">
        <f>IF(G309="", "To be updated", IF(OR(G309="IT&amp;IS", G309="ITIS"), "IT/IS", G309))</f>
        <v xml:space="preserve">Production       </v>
      </c>
      <c r="T309" s="2">
        <f t="shared" si="20"/>
        <v>13</v>
      </c>
      <c r="U309" s="1">
        <f t="shared" si="21"/>
        <v>2</v>
      </c>
      <c r="V309" s="1">
        <f t="shared" ca="1" si="24"/>
        <v>43</v>
      </c>
    </row>
    <row r="310" spans="1:22" x14ac:dyDescent="0.25">
      <c r="A310" s="1">
        <v>10010</v>
      </c>
      <c r="B310" s="1" t="s">
        <v>93</v>
      </c>
      <c r="C310" s="1">
        <v>220450</v>
      </c>
      <c r="D310" s="1" t="s">
        <v>19</v>
      </c>
      <c r="E310" s="1" t="s">
        <v>54</v>
      </c>
      <c r="F310" s="1" t="s">
        <v>12</v>
      </c>
      <c r="G310" s="1" t="s">
        <v>16</v>
      </c>
      <c r="H310" s="1">
        <v>18</v>
      </c>
      <c r="I310" s="1">
        <v>5</v>
      </c>
      <c r="J310" s="1">
        <v>6</v>
      </c>
      <c r="M310" s="1" t="str">
        <f>SUBSTITUTE(TEXT(B310,"dd/mm/yyyy"),"-","/")</f>
        <v>08/30/1979</v>
      </c>
      <c r="N310" s="3">
        <f t="shared" si="22"/>
        <v>29097</v>
      </c>
      <c r="O310" s="3" t="str">
        <f t="shared" si="23"/>
        <v>30/08/1979</v>
      </c>
      <c r="P310" s="1">
        <f>IF(RIGHT(C310,1)="K", LEFT(C310,LEN(C310)-1)*1000,C310)</f>
        <v>220450</v>
      </c>
      <c r="Q310" s="1" t="str">
        <f>IF(LEFT(D310,1)="M","Male","Female")</f>
        <v>Female</v>
      </c>
      <c r="R310" s="1" t="str">
        <f>TRIM(E310)</f>
        <v>CIO</v>
      </c>
      <c r="S310" s="1" t="str">
        <f>IF(G310="", "To be updated", IF(OR(G310="IT&amp;IS", G310="ITIS"), "IT/IS", G310))</f>
        <v>IT/IS</v>
      </c>
      <c r="T310" s="2">
        <f t="shared" si="20"/>
        <v>18</v>
      </c>
      <c r="U310" s="1">
        <f t="shared" si="21"/>
        <v>5</v>
      </c>
      <c r="V310" s="1">
        <f t="shared" ca="1" si="24"/>
        <v>46</v>
      </c>
    </row>
    <row r="311" spans="1:22" x14ac:dyDescent="0.25">
      <c r="A311" s="1">
        <v>10043</v>
      </c>
      <c r="B311" s="1" t="s">
        <v>94</v>
      </c>
      <c r="C311" s="1">
        <v>89292</v>
      </c>
      <c r="D311" s="1" t="s">
        <v>19</v>
      </c>
      <c r="E311" s="1" t="s">
        <v>24</v>
      </c>
      <c r="F311" s="1" t="s">
        <v>12</v>
      </c>
      <c r="G311" s="1" t="s">
        <v>16</v>
      </c>
      <c r="H311" s="1">
        <v>18</v>
      </c>
      <c r="I311" s="1">
        <v>3</v>
      </c>
      <c r="J311" s="1">
        <v>5</v>
      </c>
      <c r="M311" s="1" t="str">
        <f>SUBSTITUTE(TEXT(B311,"dd/mm/yyyy"),"-","/")</f>
        <v>02/24/1979</v>
      </c>
      <c r="N311" s="3">
        <f t="shared" si="22"/>
        <v>28910</v>
      </c>
      <c r="O311" s="3" t="str">
        <f t="shared" si="23"/>
        <v>24/02/1979</v>
      </c>
      <c r="P311" s="1">
        <f>IF(RIGHT(C311,1)="K", LEFT(C311,LEN(C311)-1)*1000,C311)</f>
        <v>89292</v>
      </c>
      <c r="Q311" s="1" t="str">
        <f>IF(LEFT(D311,1)="M","Male","Female")</f>
        <v>Female</v>
      </c>
      <c r="R311" s="1" t="str">
        <f>TRIM(E311)</f>
        <v>Data Analyst</v>
      </c>
      <c r="S311" s="1" t="str">
        <f>IF(G311="", "To be updated", IF(OR(G311="IT&amp;IS", G311="ITIS"), "IT/IS", G311))</f>
        <v>IT/IS</v>
      </c>
      <c r="T311" s="2">
        <f t="shared" si="20"/>
        <v>18</v>
      </c>
      <c r="U311" s="1">
        <f t="shared" si="21"/>
        <v>3</v>
      </c>
      <c r="V311" s="1">
        <f t="shared" ca="1" si="24"/>
        <v>46</v>
      </c>
    </row>
    <row r="312" spans="1:22" x14ac:dyDescent="0.25">
      <c r="A312" s="1">
        <v>10271</v>
      </c>
      <c r="B312" s="1" t="s">
        <v>95</v>
      </c>
      <c r="C312" s="1">
        <v>45046</v>
      </c>
      <c r="D312" s="1" t="s">
        <v>19</v>
      </c>
      <c r="E312" s="1" t="s">
        <v>11</v>
      </c>
      <c r="F312" s="1" t="s">
        <v>12</v>
      </c>
      <c r="G312" s="1" t="s">
        <v>13</v>
      </c>
      <c r="H312" s="1">
        <v>19</v>
      </c>
      <c r="I312" s="1">
        <v>5</v>
      </c>
      <c r="J312" s="1">
        <v>0</v>
      </c>
      <c r="M312" s="1" t="str">
        <f>SUBSTITUTE(TEXT(B312,"dd/mm/yyyy"),"-","/")</f>
        <v>08/17/1978</v>
      </c>
      <c r="N312" s="3">
        <f t="shared" si="22"/>
        <v>28719</v>
      </c>
      <c r="O312" s="3" t="str">
        <f t="shared" si="23"/>
        <v>17/08/1978</v>
      </c>
      <c r="P312" s="1">
        <f>IF(RIGHT(C312,1)="K", LEFT(C312,LEN(C312)-1)*1000,C312)</f>
        <v>45046</v>
      </c>
      <c r="Q312" s="1" t="str">
        <f>IF(LEFT(D312,1)="M","Male","Female")</f>
        <v>Female</v>
      </c>
      <c r="R312" s="1" t="str">
        <f>TRIM(E312)</f>
        <v>Production Technician I</v>
      </c>
      <c r="S312" s="1" t="str">
        <f>IF(G312="", "To be updated", IF(OR(G312="IT&amp;IS", G312="ITIS"), "IT/IS", G312))</f>
        <v xml:space="preserve">Production       </v>
      </c>
      <c r="T312" s="2">
        <f t="shared" si="20"/>
        <v>19</v>
      </c>
      <c r="U312" s="1">
        <f t="shared" si="21"/>
        <v>5</v>
      </c>
      <c r="V312" s="1">
        <f t="shared" ca="1" si="24"/>
        <v>47</v>
      </c>
    </row>
  </sheetData>
  <phoneticPr fontId="18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D3679-9E40-493A-AD3D-7578CA200480}">
  <dimension ref="A1:J313"/>
  <sheetViews>
    <sheetView tabSelected="1" workbookViewId="0"/>
  </sheetViews>
  <sheetFormatPr defaultRowHeight="15" x14ac:dyDescent="0.25"/>
  <cols>
    <col min="1" max="1" width="11.140625" customWidth="1"/>
    <col min="3" max="3" width="10.28515625" customWidth="1"/>
    <col min="4" max="4" width="10" customWidth="1"/>
    <col min="5" max="5" width="26" customWidth="1"/>
    <col min="6" max="6" width="21.85546875" customWidth="1"/>
    <col min="7" max="7" width="22.85546875" customWidth="1"/>
    <col min="8" max="8" width="14.42578125" customWidth="1"/>
    <col min="9" max="9" width="17.85546875" customWidth="1"/>
    <col min="10" max="10" width="18.5703125" customWidth="1"/>
  </cols>
  <sheetData>
    <row r="1" spans="1:10" x14ac:dyDescent="0.25">
      <c r="A1" s="9" t="s">
        <v>0</v>
      </c>
      <c r="B1" s="9" t="s">
        <v>235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236</v>
      </c>
      <c r="I1" s="9" t="s">
        <v>8</v>
      </c>
      <c r="J1" s="9" t="s">
        <v>237</v>
      </c>
    </row>
    <row r="2" spans="1:10" x14ac:dyDescent="0.25">
      <c r="A2" s="5">
        <v>10001</v>
      </c>
      <c r="B2" s="5">
        <v>42</v>
      </c>
      <c r="C2" s="5">
        <v>72640</v>
      </c>
      <c r="D2" s="5" t="s">
        <v>10</v>
      </c>
      <c r="E2" s="5" t="s">
        <v>30</v>
      </c>
      <c r="F2" s="5" t="s">
        <v>12</v>
      </c>
      <c r="G2" s="5" t="s">
        <v>13</v>
      </c>
      <c r="H2" s="5">
        <v>11</v>
      </c>
      <c r="I2" s="5">
        <v>3</v>
      </c>
      <c r="J2" s="5">
        <v>0</v>
      </c>
    </row>
    <row r="3" spans="1:10" x14ac:dyDescent="0.25">
      <c r="A3" s="1">
        <v>10002</v>
      </c>
      <c r="B3" s="1">
        <v>48</v>
      </c>
      <c r="C3" s="1">
        <v>57000</v>
      </c>
      <c r="D3" s="1" t="s">
        <v>19</v>
      </c>
      <c r="E3" s="1" t="s">
        <v>11</v>
      </c>
      <c r="F3" s="1" t="s">
        <v>12</v>
      </c>
      <c r="G3" s="1" t="s">
        <v>16</v>
      </c>
      <c r="H3" s="1">
        <v>15</v>
      </c>
      <c r="I3" s="1">
        <v>5</v>
      </c>
      <c r="J3" s="1">
        <v>0</v>
      </c>
    </row>
    <row r="4" spans="1:10" x14ac:dyDescent="0.25">
      <c r="A4" s="6">
        <v>10003</v>
      </c>
      <c r="B4" s="6">
        <v>36</v>
      </c>
      <c r="C4" s="6">
        <v>62000</v>
      </c>
      <c r="D4" s="6" t="s">
        <v>19</v>
      </c>
      <c r="E4" s="6" t="s">
        <v>11</v>
      </c>
      <c r="F4" s="6" t="s">
        <v>12</v>
      </c>
      <c r="G4" s="6" t="s">
        <v>13</v>
      </c>
      <c r="H4" s="6">
        <v>15</v>
      </c>
      <c r="I4" s="6">
        <v>3</v>
      </c>
      <c r="J4" s="6">
        <v>0</v>
      </c>
    </row>
    <row r="5" spans="1:10" x14ac:dyDescent="0.25">
      <c r="A5" s="1">
        <v>10006</v>
      </c>
      <c r="B5" s="1">
        <v>37</v>
      </c>
      <c r="C5" s="1">
        <v>74241</v>
      </c>
      <c r="D5" s="1" t="s">
        <v>19</v>
      </c>
      <c r="E5" s="1" t="s">
        <v>32</v>
      </c>
      <c r="F5" s="1" t="s">
        <v>12</v>
      </c>
      <c r="G5" s="1" t="s">
        <v>16</v>
      </c>
      <c r="H5" s="1">
        <v>13</v>
      </c>
      <c r="I5" s="1">
        <v>5</v>
      </c>
      <c r="J5" s="1">
        <v>0</v>
      </c>
    </row>
    <row r="6" spans="1:10" x14ac:dyDescent="0.25">
      <c r="A6" s="6">
        <v>10007</v>
      </c>
      <c r="B6" s="6">
        <v>51</v>
      </c>
      <c r="C6" s="6">
        <v>62065</v>
      </c>
      <c r="D6" s="6" t="s">
        <v>19</v>
      </c>
      <c r="E6" s="6" t="s">
        <v>11</v>
      </c>
      <c r="F6" s="6" t="s">
        <v>12</v>
      </c>
      <c r="G6" s="6" t="s">
        <v>238</v>
      </c>
      <c r="H6" s="6">
        <v>19</v>
      </c>
      <c r="I6" s="6">
        <v>4</v>
      </c>
      <c r="J6" s="6">
        <v>0</v>
      </c>
    </row>
    <row r="7" spans="1:10" x14ac:dyDescent="0.25">
      <c r="A7" s="1">
        <v>10008</v>
      </c>
      <c r="B7" s="1">
        <v>37</v>
      </c>
      <c r="C7" s="1">
        <v>51777</v>
      </c>
      <c r="D7" s="1" t="s">
        <v>19</v>
      </c>
      <c r="E7" s="1" t="s">
        <v>23</v>
      </c>
      <c r="F7" s="1" t="s">
        <v>12</v>
      </c>
      <c r="G7" s="1" t="s">
        <v>13</v>
      </c>
      <c r="H7" s="1">
        <v>19</v>
      </c>
      <c r="I7" s="1">
        <v>4</v>
      </c>
      <c r="J7" s="1">
        <v>5</v>
      </c>
    </row>
    <row r="8" spans="1:10" x14ac:dyDescent="0.25">
      <c r="A8" s="6">
        <v>10009</v>
      </c>
      <c r="B8" s="6">
        <v>39</v>
      </c>
      <c r="C8" s="6">
        <v>60724</v>
      </c>
      <c r="D8" s="6" t="s">
        <v>19</v>
      </c>
      <c r="E8" s="6" t="s">
        <v>18</v>
      </c>
      <c r="F8" s="6" t="s">
        <v>12</v>
      </c>
      <c r="G8" s="6" t="s">
        <v>21</v>
      </c>
      <c r="H8" s="6">
        <v>14</v>
      </c>
      <c r="I8" s="6">
        <v>4</v>
      </c>
      <c r="J8" s="6">
        <v>0</v>
      </c>
    </row>
    <row r="9" spans="1:10" x14ac:dyDescent="0.25">
      <c r="A9" s="1">
        <v>10010</v>
      </c>
      <c r="B9" s="1">
        <v>46</v>
      </c>
      <c r="C9" s="1">
        <v>220450</v>
      </c>
      <c r="D9" s="1" t="s">
        <v>19</v>
      </c>
      <c r="E9" s="1" t="s">
        <v>54</v>
      </c>
      <c r="F9" s="1" t="s">
        <v>12</v>
      </c>
      <c r="G9" s="1" t="s">
        <v>13</v>
      </c>
      <c r="H9" s="1">
        <v>18</v>
      </c>
      <c r="I9" s="1">
        <v>5</v>
      </c>
      <c r="J9" s="1">
        <v>6</v>
      </c>
    </row>
    <row r="10" spans="1:10" x14ac:dyDescent="0.25">
      <c r="A10" s="6">
        <v>10011</v>
      </c>
      <c r="B10" s="6">
        <v>51</v>
      </c>
      <c r="C10" s="6">
        <v>46738</v>
      </c>
      <c r="D10" s="6" t="s">
        <v>19</v>
      </c>
      <c r="E10" s="6" t="s">
        <v>11</v>
      </c>
      <c r="F10" s="6" t="s">
        <v>12</v>
      </c>
      <c r="G10" s="6" t="s">
        <v>13</v>
      </c>
      <c r="H10" s="6">
        <v>16</v>
      </c>
      <c r="I10" s="6">
        <v>5</v>
      </c>
      <c r="J10" s="6">
        <v>0</v>
      </c>
    </row>
    <row r="11" spans="1:10" x14ac:dyDescent="0.25">
      <c r="A11" s="1">
        <v>10012</v>
      </c>
      <c r="B11" s="1">
        <v>37</v>
      </c>
      <c r="C11" s="1">
        <v>92328</v>
      </c>
      <c r="D11" s="1" t="s">
        <v>10</v>
      </c>
      <c r="E11" s="1" t="s">
        <v>24</v>
      </c>
      <c r="F11" s="1" t="s">
        <v>12</v>
      </c>
      <c r="G11" s="1" t="s">
        <v>16</v>
      </c>
      <c r="H11" s="2">
        <v>15.260586319218241</v>
      </c>
      <c r="I11" s="1">
        <v>4</v>
      </c>
      <c r="J11" s="1">
        <v>5</v>
      </c>
    </row>
    <row r="12" spans="1:10" x14ac:dyDescent="0.25">
      <c r="A12" s="6">
        <v>10013</v>
      </c>
      <c r="B12" s="6">
        <v>57</v>
      </c>
      <c r="C12" s="6">
        <v>64397</v>
      </c>
      <c r="D12" s="6" t="s">
        <v>10</v>
      </c>
      <c r="E12" s="6" t="s">
        <v>32</v>
      </c>
      <c r="F12" s="6" t="s">
        <v>12</v>
      </c>
      <c r="G12" s="6" t="s">
        <v>13</v>
      </c>
      <c r="H12" s="6">
        <v>11</v>
      </c>
      <c r="I12" s="6">
        <v>3</v>
      </c>
      <c r="J12" s="6">
        <v>0</v>
      </c>
    </row>
    <row r="13" spans="1:10" x14ac:dyDescent="0.25">
      <c r="A13" s="1">
        <v>10015</v>
      </c>
      <c r="B13" s="1">
        <v>45</v>
      </c>
      <c r="C13" s="1">
        <v>178000</v>
      </c>
      <c r="D13" s="1" t="s">
        <v>10</v>
      </c>
      <c r="E13" s="1" t="s">
        <v>42</v>
      </c>
      <c r="F13" s="1" t="s">
        <v>12</v>
      </c>
      <c r="G13" s="1" t="s">
        <v>13</v>
      </c>
      <c r="H13" s="1">
        <v>12</v>
      </c>
      <c r="I13" s="1">
        <v>5</v>
      </c>
      <c r="J13" s="1">
        <v>5</v>
      </c>
    </row>
    <row r="14" spans="1:10" x14ac:dyDescent="0.25">
      <c r="A14" s="6">
        <v>10016</v>
      </c>
      <c r="B14" s="6">
        <v>41</v>
      </c>
      <c r="C14" s="6">
        <v>93554</v>
      </c>
      <c r="D14" s="6" t="s">
        <v>19</v>
      </c>
      <c r="E14" s="6" t="s">
        <v>24</v>
      </c>
      <c r="F14" s="6" t="s">
        <v>12</v>
      </c>
      <c r="G14" s="6" t="s">
        <v>16</v>
      </c>
      <c r="H14" s="6">
        <v>13</v>
      </c>
      <c r="I14" s="6">
        <v>5</v>
      </c>
      <c r="J14" s="6">
        <v>7</v>
      </c>
    </row>
    <row r="15" spans="1:10" x14ac:dyDescent="0.25">
      <c r="A15" s="1">
        <v>10017</v>
      </c>
      <c r="B15" s="1">
        <v>43</v>
      </c>
      <c r="C15" s="1">
        <v>77915</v>
      </c>
      <c r="D15" s="1" t="s">
        <v>19</v>
      </c>
      <c r="E15" s="1" t="s">
        <v>30</v>
      </c>
      <c r="F15" s="1" t="s">
        <v>12</v>
      </c>
      <c r="G15" s="1" t="s">
        <v>13</v>
      </c>
      <c r="H15" s="1">
        <v>15</v>
      </c>
      <c r="I15" s="1">
        <v>3</v>
      </c>
      <c r="J15" s="1">
        <v>0</v>
      </c>
    </row>
    <row r="16" spans="1:10" x14ac:dyDescent="0.25">
      <c r="A16" s="6">
        <v>10018</v>
      </c>
      <c r="B16" s="6">
        <v>45</v>
      </c>
      <c r="C16" s="6">
        <v>57815</v>
      </c>
      <c r="D16" s="6" t="s">
        <v>19</v>
      </c>
      <c r="E16" s="6" t="s">
        <v>11</v>
      </c>
      <c r="F16" s="6" t="s">
        <v>12</v>
      </c>
      <c r="G16" s="6" t="s">
        <v>13</v>
      </c>
      <c r="H16" s="6">
        <v>23</v>
      </c>
      <c r="I16" s="6">
        <v>4</v>
      </c>
      <c r="J16" s="6">
        <v>0</v>
      </c>
    </row>
    <row r="17" spans="1:10" x14ac:dyDescent="0.25">
      <c r="A17" s="1">
        <v>10019</v>
      </c>
      <c r="B17" s="1">
        <v>42</v>
      </c>
      <c r="C17" s="1">
        <v>170500</v>
      </c>
      <c r="D17" s="1" t="s">
        <v>10</v>
      </c>
      <c r="E17" s="1" t="s">
        <v>36</v>
      </c>
      <c r="F17" s="1" t="s">
        <v>12</v>
      </c>
      <c r="G17" s="1" t="s">
        <v>13</v>
      </c>
      <c r="H17" s="1">
        <v>23</v>
      </c>
      <c r="I17" s="1">
        <v>5</v>
      </c>
      <c r="J17" s="1">
        <v>0</v>
      </c>
    </row>
    <row r="18" spans="1:10" x14ac:dyDescent="0.25">
      <c r="A18" s="6">
        <v>10020</v>
      </c>
      <c r="B18" s="6">
        <v>40</v>
      </c>
      <c r="C18" s="6">
        <v>63353</v>
      </c>
      <c r="D18" s="6" t="s">
        <v>10</v>
      </c>
      <c r="E18" s="6" t="s">
        <v>11</v>
      </c>
      <c r="F18" s="6" t="s">
        <v>12</v>
      </c>
      <c r="G18" s="6" t="s">
        <v>13</v>
      </c>
      <c r="H18" s="6">
        <v>11</v>
      </c>
      <c r="I18" s="6">
        <v>5</v>
      </c>
      <c r="J18" s="6">
        <v>0</v>
      </c>
    </row>
    <row r="19" spans="1:10" x14ac:dyDescent="0.25">
      <c r="A19" s="1">
        <v>10021</v>
      </c>
      <c r="B19" s="1">
        <v>48</v>
      </c>
      <c r="C19" s="1">
        <v>47414</v>
      </c>
      <c r="D19" s="1" t="s">
        <v>10</v>
      </c>
      <c r="E19" s="1" t="s">
        <v>11</v>
      </c>
      <c r="F19" s="1" t="s">
        <v>12</v>
      </c>
      <c r="G19" s="1" t="s">
        <v>13</v>
      </c>
      <c r="H19" s="1">
        <v>12</v>
      </c>
      <c r="I19" s="1">
        <v>3</v>
      </c>
      <c r="J19" s="1">
        <v>0</v>
      </c>
    </row>
    <row r="20" spans="1:10" x14ac:dyDescent="0.25">
      <c r="A20" s="6">
        <v>10023</v>
      </c>
      <c r="B20" s="6">
        <v>59</v>
      </c>
      <c r="C20" s="6">
        <v>70131</v>
      </c>
      <c r="D20" s="6" t="s">
        <v>19</v>
      </c>
      <c r="E20" s="6" t="s">
        <v>18</v>
      </c>
      <c r="F20" s="6" t="s">
        <v>12</v>
      </c>
      <c r="G20" s="6" t="s">
        <v>16</v>
      </c>
      <c r="H20" s="6">
        <v>12</v>
      </c>
      <c r="I20" s="6">
        <v>5</v>
      </c>
      <c r="J20" s="6">
        <v>0</v>
      </c>
    </row>
    <row r="21" spans="1:10" x14ac:dyDescent="0.25">
      <c r="A21" s="1">
        <v>10024</v>
      </c>
      <c r="B21" s="1">
        <v>42</v>
      </c>
      <c r="C21" s="1">
        <v>92989</v>
      </c>
      <c r="D21" s="1" t="s">
        <v>10</v>
      </c>
      <c r="E21" s="1" t="s">
        <v>20</v>
      </c>
      <c r="F21" s="1" t="s">
        <v>12</v>
      </c>
      <c r="G21" s="1" t="s">
        <v>13</v>
      </c>
      <c r="H21" s="1">
        <v>14</v>
      </c>
      <c r="I21" s="1">
        <v>5</v>
      </c>
      <c r="J21" s="1">
        <v>5</v>
      </c>
    </row>
    <row r="22" spans="1:10" x14ac:dyDescent="0.25">
      <c r="A22" s="6">
        <v>10025</v>
      </c>
      <c r="B22" s="6">
        <v>55</v>
      </c>
      <c r="C22" s="6">
        <v>72460</v>
      </c>
      <c r="D22" s="6" t="s">
        <v>19</v>
      </c>
      <c r="E22" s="6" t="s">
        <v>18</v>
      </c>
      <c r="F22" s="6" t="s">
        <v>12</v>
      </c>
      <c r="G22" s="6" t="s">
        <v>13</v>
      </c>
      <c r="H22" s="6">
        <v>13</v>
      </c>
      <c r="I22" s="6">
        <v>3</v>
      </c>
      <c r="J22" s="6">
        <v>0</v>
      </c>
    </row>
    <row r="23" spans="1:10" x14ac:dyDescent="0.25">
      <c r="A23" s="1">
        <v>10026</v>
      </c>
      <c r="B23" s="1">
        <v>41</v>
      </c>
      <c r="C23" s="1">
        <v>62506</v>
      </c>
      <c r="D23" s="1" t="s">
        <v>10</v>
      </c>
      <c r="E23" s="1" t="s">
        <v>11</v>
      </c>
      <c r="F23" s="1" t="s">
        <v>12</v>
      </c>
      <c r="G23" s="1" t="s">
        <v>238</v>
      </c>
      <c r="H23" s="1">
        <v>13</v>
      </c>
      <c r="I23" s="1">
        <v>5</v>
      </c>
      <c r="J23" s="1">
        <v>0</v>
      </c>
    </row>
    <row r="24" spans="1:10" x14ac:dyDescent="0.25">
      <c r="A24" s="6">
        <v>10027</v>
      </c>
      <c r="B24" s="6">
        <v>61</v>
      </c>
      <c r="C24" s="6">
        <v>60656</v>
      </c>
      <c r="D24" s="6" t="s">
        <v>10</v>
      </c>
      <c r="E24" s="6" t="s">
        <v>18</v>
      </c>
      <c r="F24" s="6" t="s">
        <v>12</v>
      </c>
      <c r="G24" s="6" t="s">
        <v>238</v>
      </c>
      <c r="H24" s="6">
        <v>11</v>
      </c>
      <c r="I24" s="6">
        <v>3</v>
      </c>
      <c r="J24" s="6">
        <v>0</v>
      </c>
    </row>
    <row r="25" spans="1:10" x14ac:dyDescent="0.25">
      <c r="A25" s="1">
        <v>10028</v>
      </c>
      <c r="B25" s="1">
        <v>55</v>
      </c>
      <c r="C25" s="1">
        <v>138888</v>
      </c>
      <c r="D25" s="1" t="s">
        <v>10</v>
      </c>
      <c r="E25" s="1" t="s">
        <v>40</v>
      </c>
      <c r="F25" s="1" t="s">
        <v>12</v>
      </c>
      <c r="G25" s="1" t="s">
        <v>13</v>
      </c>
      <c r="H25" s="1">
        <v>16</v>
      </c>
      <c r="I25" s="1">
        <v>5</v>
      </c>
      <c r="J25" s="1">
        <v>5</v>
      </c>
    </row>
    <row r="26" spans="1:10" x14ac:dyDescent="0.25">
      <c r="A26" s="6">
        <v>10029</v>
      </c>
      <c r="B26" s="6">
        <v>45</v>
      </c>
      <c r="C26" s="6">
        <v>50373</v>
      </c>
      <c r="D26" s="6" t="s">
        <v>10</v>
      </c>
      <c r="E26" s="6" t="s">
        <v>11</v>
      </c>
      <c r="F26" s="6" t="s">
        <v>12</v>
      </c>
      <c r="G26" s="6" t="s">
        <v>13</v>
      </c>
      <c r="H26" s="6">
        <v>15</v>
      </c>
      <c r="I26" s="6">
        <v>4</v>
      </c>
      <c r="J26" s="6">
        <v>0</v>
      </c>
    </row>
    <row r="27" spans="1:10" x14ac:dyDescent="0.25">
      <c r="A27" s="1">
        <v>10031</v>
      </c>
      <c r="B27" s="1">
        <v>55</v>
      </c>
      <c r="C27" s="1">
        <v>59892</v>
      </c>
      <c r="D27" s="1" t="s">
        <v>10</v>
      </c>
      <c r="E27" s="1" t="s">
        <v>11</v>
      </c>
      <c r="F27" s="1" t="s">
        <v>12</v>
      </c>
      <c r="G27" s="1" t="s">
        <v>16</v>
      </c>
      <c r="H27" s="1">
        <v>15</v>
      </c>
      <c r="I27" s="1">
        <v>4</v>
      </c>
      <c r="J27" s="1">
        <v>0</v>
      </c>
    </row>
    <row r="28" spans="1:10" x14ac:dyDescent="0.25">
      <c r="A28" s="6">
        <v>10035</v>
      </c>
      <c r="B28" s="6">
        <v>43</v>
      </c>
      <c r="C28" s="6">
        <v>73330</v>
      </c>
      <c r="D28" s="6" t="s">
        <v>19</v>
      </c>
      <c r="E28" s="6" t="s">
        <v>18</v>
      </c>
      <c r="F28" s="6" t="s">
        <v>12</v>
      </c>
      <c r="G28" s="6" t="s">
        <v>29</v>
      </c>
      <c r="H28" s="6">
        <v>12</v>
      </c>
      <c r="I28" s="6">
        <v>4</v>
      </c>
      <c r="J28" s="6">
        <v>0</v>
      </c>
    </row>
    <row r="29" spans="1:10" x14ac:dyDescent="0.25">
      <c r="A29" s="1">
        <v>10036</v>
      </c>
      <c r="B29" s="1">
        <v>56</v>
      </c>
      <c r="C29" s="1">
        <v>63322</v>
      </c>
      <c r="D29" s="1" t="s">
        <v>19</v>
      </c>
      <c r="E29" s="1" t="s">
        <v>18</v>
      </c>
      <c r="F29" s="1" t="s">
        <v>12</v>
      </c>
      <c r="G29" s="1" t="s">
        <v>13</v>
      </c>
      <c r="H29" s="1">
        <v>14</v>
      </c>
      <c r="I29" s="1">
        <v>3</v>
      </c>
      <c r="J29" s="1">
        <v>0</v>
      </c>
    </row>
    <row r="30" spans="1:10" x14ac:dyDescent="0.25">
      <c r="A30" s="6">
        <v>10037</v>
      </c>
      <c r="B30" s="6">
        <v>58</v>
      </c>
      <c r="C30" s="6">
        <v>52984</v>
      </c>
      <c r="D30" s="6" t="s">
        <v>19</v>
      </c>
      <c r="E30" s="6" t="s">
        <v>11</v>
      </c>
      <c r="F30" s="6" t="s">
        <v>12</v>
      </c>
      <c r="G30" s="6" t="s">
        <v>13</v>
      </c>
      <c r="H30" s="6">
        <v>13</v>
      </c>
      <c r="I30" s="6">
        <v>3</v>
      </c>
      <c r="J30" s="6">
        <v>0</v>
      </c>
    </row>
    <row r="31" spans="1:10" x14ac:dyDescent="0.25">
      <c r="A31" s="1">
        <v>10038</v>
      </c>
      <c r="B31" s="1">
        <v>41</v>
      </c>
      <c r="C31" s="1">
        <v>64520</v>
      </c>
      <c r="D31" s="1" t="s">
        <v>10</v>
      </c>
      <c r="E31" s="1" t="s">
        <v>31</v>
      </c>
      <c r="F31" s="1" t="s">
        <v>12</v>
      </c>
      <c r="G31" s="1" t="s">
        <v>29</v>
      </c>
      <c r="H31" s="1">
        <v>13</v>
      </c>
      <c r="I31" s="1">
        <v>4</v>
      </c>
      <c r="J31" s="1">
        <v>4</v>
      </c>
    </row>
    <row r="32" spans="1:10" x14ac:dyDescent="0.25">
      <c r="A32" s="6">
        <v>10039</v>
      </c>
      <c r="B32" s="6">
        <v>37</v>
      </c>
      <c r="C32" s="6">
        <v>51920</v>
      </c>
      <c r="D32" s="6" t="s">
        <v>19</v>
      </c>
      <c r="E32" s="6" t="s">
        <v>44</v>
      </c>
      <c r="F32" s="6" t="s">
        <v>12</v>
      </c>
      <c r="G32" s="6" t="s">
        <v>16</v>
      </c>
      <c r="H32" s="6">
        <v>19</v>
      </c>
      <c r="I32" s="6">
        <v>3</v>
      </c>
      <c r="J32" s="6">
        <v>5</v>
      </c>
    </row>
    <row r="33" spans="1:10" x14ac:dyDescent="0.25">
      <c r="A33" s="1">
        <v>10040</v>
      </c>
      <c r="B33" s="1">
        <v>62</v>
      </c>
      <c r="C33" s="1">
        <v>71860</v>
      </c>
      <c r="D33" s="1" t="s">
        <v>19</v>
      </c>
      <c r="E33" s="1" t="s">
        <v>32</v>
      </c>
      <c r="F33" s="1" t="s">
        <v>12</v>
      </c>
      <c r="G33" s="1" t="s">
        <v>13</v>
      </c>
      <c r="H33" s="1">
        <v>11</v>
      </c>
      <c r="I33" s="1">
        <v>5</v>
      </c>
      <c r="J33" s="1">
        <v>0</v>
      </c>
    </row>
    <row r="34" spans="1:10" x14ac:dyDescent="0.25">
      <c r="A34" s="6">
        <v>10041</v>
      </c>
      <c r="B34" s="6">
        <v>43</v>
      </c>
      <c r="C34" s="6">
        <v>68829</v>
      </c>
      <c r="D34" s="6" t="s">
        <v>10</v>
      </c>
      <c r="E34" s="6" t="s">
        <v>32</v>
      </c>
      <c r="F34" s="6" t="s">
        <v>12</v>
      </c>
      <c r="G34" s="6" t="s">
        <v>33</v>
      </c>
      <c r="H34" s="6">
        <v>20</v>
      </c>
      <c r="I34" s="6">
        <v>5</v>
      </c>
      <c r="J34" s="6">
        <v>0</v>
      </c>
    </row>
    <row r="35" spans="1:10" x14ac:dyDescent="0.25">
      <c r="A35" s="1">
        <v>10042</v>
      </c>
      <c r="B35" s="1">
        <v>36</v>
      </c>
      <c r="C35" s="1">
        <v>63695</v>
      </c>
      <c r="D35" s="1" t="s">
        <v>19</v>
      </c>
      <c r="E35" s="1" t="s">
        <v>32</v>
      </c>
      <c r="F35" s="1" t="s">
        <v>12</v>
      </c>
      <c r="G35" s="1" t="s">
        <v>13</v>
      </c>
      <c r="H35" s="1">
        <v>11</v>
      </c>
      <c r="I35" s="1">
        <v>5</v>
      </c>
      <c r="J35" s="1">
        <v>0</v>
      </c>
    </row>
    <row r="36" spans="1:10" x14ac:dyDescent="0.25">
      <c r="A36" s="6">
        <v>10043</v>
      </c>
      <c r="B36" s="6">
        <v>46</v>
      </c>
      <c r="C36" s="6">
        <v>89292</v>
      </c>
      <c r="D36" s="6" t="s">
        <v>19</v>
      </c>
      <c r="E36" s="6" t="s">
        <v>24</v>
      </c>
      <c r="F36" s="6" t="s">
        <v>12</v>
      </c>
      <c r="G36" s="6" t="s">
        <v>13</v>
      </c>
      <c r="H36" s="6">
        <v>18</v>
      </c>
      <c r="I36" s="6">
        <v>3</v>
      </c>
      <c r="J36" s="6">
        <v>5</v>
      </c>
    </row>
    <row r="37" spans="1:10" x14ac:dyDescent="0.25">
      <c r="A37" s="1">
        <v>10045</v>
      </c>
      <c r="B37" s="1">
        <v>39</v>
      </c>
      <c r="C37" s="1">
        <v>76029</v>
      </c>
      <c r="D37" s="1" t="s">
        <v>10</v>
      </c>
      <c r="E37" s="1" t="s">
        <v>41</v>
      </c>
      <c r="F37" s="1" t="s">
        <v>12</v>
      </c>
      <c r="G37" s="1" t="s">
        <v>21</v>
      </c>
      <c r="H37" s="1">
        <v>19</v>
      </c>
      <c r="I37" s="1">
        <v>4</v>
      </c>
      <c r="J37" s="1">
        <v>7</v>
      </c>
    </row>
    <row r="38" spans="1:10" x14ac:dyDescent="0.25">
      <c r="A38" s="6">
        <v>10046</v>
      </c>
      <c r="B38" s="6">
        <v>54</v>
      </c>
      <c r="C38" s="6">
        <v>51044</v>
      </c>
      <c r="D38" s="6" t="s">
        <v>10</v>
      </c>
      <c r="E38" s="6" t="s">
        <v>11</v>
      </c>
      <c r="F38" s="6" t="s">
        <v>12</v>
      </c>
      <c r="G38" s="6" t="s">
        <v>13</v>
      </c>
      <c r="H38" s="6">
        <v>13</v>
      </c>
      <c r="I38" s="6">
        <v>3</v>
      </c>
      <c r="J38" s="6">
        <v>0</v>
      </c>
    </row>
    <row r="39" spans="1:10" x14ac:dyDescent="0.25">
      <c r="A39" s="1">
        <v>10049</v>
      </c>
      <c r="B39" s="1">
        <v>44</v>
      </c>
      <c r="C39" s="1">
        <v>58530</v>
      </c>
      <c r="D39" s="1" t="s">
        <v>19</v>
      </c>
      <c r="E39" s="1" t="s">
        <v>11</v>
      </c>
      <c r="F39" s="1" t="s">
        <v>12</v>
      </c>
      <c r="G39" s="1" t="s">
        <v>21</v>
      </c>
      <c r="H39" s="1">
        <v>16</v>
      </c>
      <c r="I39" s="1">
        <v>5</v>
      </c>
      <c r="J39" s="1">
        <v>0</v>
      </c>
    </row>
    <row r="40" spans="1:10" x14ac:dyDescent="0.25">
      <c r="A40" s="6">
        <v>10051</v>
      </c>
      <c r="B40" s="6">
        <v>46</v>
      </c>
      <c r="C40" s="6">
        <v>48285</v>
      </c>
      <c r="D40" s="6" t="s">
        <v>10</v>
      </c>
      <c r="E40" s="6" t="s">
        <v>11</v>
      </c>
      <c r="F40" s="6" t="s">
        <v>12</v>
      </c>
      <c r="G40" s="6" t="s">
        <v>13</v>
      </c>
      <c r="H40" s="6">
        <v>11</v>
      </c>
      <c r="I40" s="6">
        <v>3</v>
      </c>
      <c r="J40" s="6">
        <v>0</v>
      </c>
    </row>
    <row r="41" spans="1:10" x14ac:dyDescent="0.25">
      <c r="A41" s="1">
        <v>10052</v>
      </c>
      <c r="B41" s="1">
        <v>39</v>
      </c>
      <c r="C41" s="1">
        <v>46120</v>
      </c>
      <c r="D41" s="1" t="s">
        <v>10</v>
      </c>
      <c r="E41" s="1" t="s">
        <v>11</v>
      </c>
      <c r="F41" s="1" t="s">
        <v>12</v>
      </c>
      <c r="G41" s="1" t="s">
        <v>16</v>
      </c>
      <c r="H41" s="1">
        <v>18</v>
      </c>
      <c r="I41" s="1">
        <v>5</v>
      </c>
      <c r="J41" s="1">
        <v>0</v>
      </c>
    </row>
    <row r="42" spans="1:10" x14ac:dyDescent="0.25">
      <c r="A42" s="6">
        <v>10053</v>
      </c>
      <c r="B42" s="6">
        <v>47</v>
      </c>
      <c r="C42" s="6">
        <v>54132</v>
      </c>
      <c r="D42" s="6" t="s">
        <v>19</v>
      </c>
      <c r="E42" s="6" t="s">
        <v>11</v>
      </c>
      <c r="F42" s="6" t="s">
        <v>12</v>
      </c>
      <c r="G42" s="6" t="s">
        <v>33</v>
      </c>
      <c r="H42" s="6">
        <v>11</v>
      </c>
      <c r="I42" s="6">
        <v>4</v>
      </c>
      <c r="J42" s="6">
        <v>0</v>
      </c>
    </row>
    <row r="43" spans="1:10" x14ac:dyDescent="0.25">
      <c r="A43" s="1">
        <v>10054</v>
      </c>
      <c r="B43" s="1">
        <v>51</v>
      </c>
      <c r="C43" s="1">
        <v>60627</v>
      </c>
      <c r="D43" s="1" t="s">
        <v>19</v>
      </c>
      <c r="E43" s="1" t="s">
        <v>11</v>
      </c>
      <c r="F43" s="1" t="s">
        <v>12</v>
      </c>
      <c r="G43" s="1" t="s">
        <v>13</v>
      </c>
      <c r="H43" s="1">
        <v>11</v>
      </c>
      <c r="I43" s="1">
        <v>4</v>
      </c>
      <c r="J43" s="1">
        <v>0</v>
      </c>
    </row>
    <row r="44" spans="1:10" x14ac:dyDescent="0.25">
      <c r="A44" s="6">
        <v>10055</v>
      </c>
      <c r="B44" s="6">
        <v>54</v>
      </c>
      <c r="C44" s="6">
        <v>59026</v>
      </c>
      <c r="D44" s="6" t="s">
        <v>19</v>
      </c>
      <c r="E44" s="6" t="s">
        <v>11</v>
      </c>
      <c r="F44" s="6" t="s">
        <v>12</v>
      </c>
      <c r="G44" s="6" t="s">
        <v>16</v>
      </c>
      <c r="H44" s="6">
        <v>18</v>
      </c>
      <c r="I44" s="6">
        <v>5</v>
      </c>
      <c r="J44" s="6">
        <v>0</v>
      </c>
    </row>
    <row r="45" spans="1:10" x14ac:dyDescent="0.25">
      <c r="A45" s="1">
        <v>10056</v>
      </c>
      <c r="B45" s="1">
        <v>47</v>
      </c>
      <c r="C45" s="1">
        <v>57583</v>
      </c>
      <c r="D45" s="1" t="s">
        <v>19</v>
      </c>
      <c r="E45" s="1" t="s">
        <v>11</v>
      </c>
      <c r="F45" s="1" t="s">
        <v>12</v>
      </c>
      <c r="G45" s="1" t="s">
        <v>13</v>
      </c>
      <c r="H45" s="1">
        <v>21</v>
      </c>
      <c r="I45" s="1">
        <v>3</v>
      </c>
      <c r="J45" s="1">
        <v>0</v>
      </c>
    </row>
    <row r="46" spans="1:10" x14ac:dyDescent="0.25">
      <c r="A46" s="6">
        <v>10057</v>
      </c>
      <c r="B46" s="6">
        <v>49</v>
      </c>
      <c r="C46" s="6">
        <v>52000</v>
      </c>
      <c r="D46" s="6" t="s">
        <v>19</v>
      </c>
      <c r="E46" s="6" t="s">
        <v>11</v>
      </c>
      <c r="F46" s="6" t="s">
        <v>12</v>
      </c>
      <c r="G46" s="6" t="s">
        <v>13</v>
      </c>
      <c r="H46" s="6">
        <v>11</v>
      </c>
      <c r="I46" s="6">
        <v>3</v>
      </c>
      <c r="J46" s="6">
        <v>0</v>
      </c>
    </row>
    <row r="47" spans="1:10" x14ac:dyDescent="0.25">
      <c r="A47" s="1">
        <v>10060</v>
      </c>
      <c r="B47" s="1">
        <v>61</v>
      </c>
      <c r="C47" s="1">
        <v>60436</v>
      </c>
      <c r="D47" s="1" t="s">
        <v>19</v>
      </c>
      <c r="E47" s="1" t="s">
        <v>11</v>
      </c>
      <c r="F47" s="1" t="s">
        <v>12</v>
      </c>
      <c r="G47" s="1" t="s">
        <v>33</v>
      </c>
      <c r="H47" s="1">
        <v>12</v>
      </c>
      <c r="I47" s="1">
        <v>5</v>
      </c>
      <c r="J47" s="1">
        <v>0</v>
      </c>
    </row>
    <row r="48" spans="1:10" x14ac:dyDescent="0.25">
      <c r="A48" s="6">
        <v>10062</v>
      </c>
      <c r="B48" s="6">
        <v>42</v>
      </c>
      <c r="C48" s="6">
        <v>59365</v>
      </c>
      <c r="D48" s="6" t="s">
        <v>10</v>
      </c>
      <c r="E48" s="6" t="s">
        <v>11</v>
      </c>
      <c r="F48" s="6" t="s">
        <v>12</v>
      </c>
      <c r="G48" s="6" t="s">
        <v>13</v>
      </c>
      <c r="H48" s="6">
        <v>16</v>
      </c>
      <c r="I48" s="6">
        <v>1</v>
      </c>
      <c r="J48" s="6">
        <v>0</v>
      </c>
    </row>
    <row r="49" spans="1:10" x14ac:dyDescent="0.25">
      <c r="A49" s="1">
        <v>10063</v>
      </c>
      <c r="B49" s="1">
        <v>48</v>
      </c>
      <c r="C49" s="1">
        <v>48495</v>
      </c>
      <c r="D49" s="1" t="s">
        <v>10</v>
      </c>
      <c r="E49" s="1" t="s">
        <v>11</v>
      </c>
      <c r="F49" s="1" t="s">
        <v>12</v>
      </c>
      <c r="G49" s="1" t="s">
        <v>13</v>
      </c>
      <c r="H49" s="1">
        <v>17</v>
      </c>
      <c r="I49" s="1">
        <v>5</v>
      </c>
      <c r="J49" s="1">
        <v>0</v>
      </c>
    </row>
    <row r="50" spans="1:10" x14ac:dyDescent="0.25">
      <c r="A50" s="6">
        <v>10067</v>
      </c>
      <c r="B50" s="6">
        <v>74</v>
      </c>
      <c r="C50" s="6">
        <v>61656</v>
      </c>
      <c r="D50" s="6" t="s">
        <v>19</v>
      </c>
      <c r="E50" s="6" t="s">
        <v>11</v>
      </c>
      <c r="F50" s="6" t="s">
        <v>12</v>
      </c>
      <c r="G50" s="6" t="s">
        <v>16</v>
      </c>
      <c r="H50" s="6">
        <v>13</v>
      </c>
      <c r="I50" s="6">
        <v>4</v>
      </c>
      <c r="J50" s="6">
        <v>0</v>
      </c>
    </row>
    <row r="51" spans="1:10" x14ac:dyDescent="0.25">
      <c r="A51" s="1">
        <v>10068</v>
      </c>
      <c r="B51" s="1">
        <v>48</v>
      </c>
      <c r="C51" s="1">
        <v>55688</v>
      </c>
      <c r="D51" s="1" t="s">
        <v>19</v>
      </c>
      <c r="E51" s="1" t="s">
        <v>11</v>
      </c>
      <c r="F51" s="1" t="s">
        <v>12</v>
      </c>
      <c r="G51" s="1" t="s">
        <v>13</v>
      </c>
      <c r="H51" s="1">
        <v>11</v>
      </c>
      <c r="I51" s="1">
        <v>4</v>
      </c>
      <c r="J51" s="1">
        <v>0</v>
      </c>
    </row>
    <row r="52" spans="1:10" x14ac:dyDescent="0.25">
      <c r="A52" s="6">
        <v>10071</v>
      </c>
      <c r="B52" s="6">
        <v>49</v>
      </c>
      <c r="C52" s="6">
        <v>50923</v>
      </c>
      <c r="D52" s="6" t="s">
        <v>19</v>
      </c>
      <c r="E52" s="6" t="s">
        <v>11</v>
      </c>
      <c r="F52" s="6" t="s">
        <v>12</v>
      </c>
      <c r="G52" s="6" t="s">
        <v>13</v>
      </c>
      <c r="H52" s="6">
        <v>21</v>
      </c>
      <c r="I52" s="6">
        <v>5</v>
      </c>
      <c r="J52" s="6">
        <v>0</v>
      </c>
    </row>
    <row r="53" spans="1:10" x14ac:dyDescent="0.25">
      <c r="A53" s="1">
        <v>10074</v>
      </c>
      <c r="B53" s="1">
        <v>36</v>
      </c>
      <c r="C53" s="1">
        <v>64000</v>
      </c>
      <c r="D53" s="1" t="s">
        <v>10</v>
      </c>
      <c r="E53" s="1" t="s">
        <v>18</v>
      </c>
      <c r="F53" s="1" t="s">
        <v>12</v>
      </c>
      <c r="G53" s="1" t="s">
        <v>13</v>
      </c>
      <c r="H53" s="1">
        <v>12</v>
      </c>
      <c r="I53" s="1">
        <v>3</v>
      </c>
      <c r="J53" s="1">
        <v>0</v>
      </c>
    </row>
    <row r="54" spans="1:10" x14ac:dyDescent="0.25">
      <c r="A54" s="6">
        <v>10076</v>
      </c>
      <c r="B54" s="6">
        <v>38</v>
      </c>
      <c r="C54" s="6">
        <v>55315</v>
      </c>
      <c r="D54" s="6" t="s">
        <v>19</v>
      </c>
      <c r="E54" s="6" t="s">
        <v>18</v>
      </c>
      <c r="F54" s="6" t="s">
        <v>12</v>
      </c>
      <c r="G54" s="6" t="s">
        <v>13</v>
      </c>
      <c r="H54" s="6">
        <v>21</v>
      </c>
      <c r="I54" s="6">
        <v>5</v>
      </c>
      <c r="J54" s="6">
        <v>0</v>
      </c>
    </row>
    <row r="55" spans="1:10" x14ac:dyDescent="0.25">
      <c r="A55" s="1">
        <v>10077</v>
      </c>
      <c r="B55" s="1">
        <v>49</v>
      </c>
      <c r="C55" s="1">
        <v>62385</v>
      </c>
      <c r="D55" s="1" t="s">
        <v>19</v>
      </c>
      <c r="E55" s="1" t="s">
        <v>18</v>
      </c>
      <c r="F55" s="1" t="s">
        <v>12</v>
      </c>
      <c r="G55" s="1" t="s">
        <v>13</v>
      </c>
      <c r="H55" s="1">
        <v>12</v>
      </c>
      <c r="I55" s="1">
        <v>3</v>
      </c>
      <c r="J55" s="1">
        <v>0</v>
      </c>
    </row>
    <row r="56" spans="1:10" x14ac:dyDescent="0.25">
      <c r="A56" s="6">
        <v>10079</v>
      </c>
      <c r="B56" s="6">
        <v>55</v>
      </c>
      <c r="C56" s="6">
        <v>87921</v>
      </c>
      <c r="D56" s="6" t="s">
        <v>10</v>
      </c>
      <c r="E56" s="6" t="s">
        <v>47</v>
      </c>
      <c r="F56" s="6" t="s">
        <v>12</v>
      </c>
      <c r="G56" s="6" t="s">
        <v>13</v>
      </c>
      <c r="H56" s="6">
        <v>13</v>
      </c>
      <c r="I56" s="6">
        <v>3</v>
      </c>
      <c r="J56" s="6">
        <v>6</v>
      </c>
    </row>
    <row r="57" spans="1:10" x14ac:dyDescent="0.25">
      <c r="A57" s="1">
        <v>10080</v>
      </c>
      <c r="B57" s="1">
        <v>46</v>
      </c>
      <c r="C57" s="1">
        <v>99351</v>
      </c>
      <c r="D57" s="1" t="s">
        <v>19</v>
      </c>
      <c r="E57" s="1" t="s">
        <v>28</v>
      </c>
      <c r="F57" s="1" t="s">
        <v>12</v>
      </c>
      <c r="G57" s="1" t="s">
        <v>13</v>
      </c>
      <c r="H57" s="1">
        <v>11</v>
      </c>
      <c r="I57" s="1">
        <v>3</v>
      </c>
      <c r="J57" s="1">
        <v>2</v>
      </c>
    </row>
    <row r="58" spans="1:10" x14ac:dyDescent="0.25">
      <c r="A58" s="6">
        <v>10081</v>
      </c>
      <c r="B58" s="6">
        <v>38</v>
      </c>
      <c r="C58" s="6">
        <v>106367</v>
      </c>
      <c r="D58" s="6" t="s">
        <v>19</v>
      </c>
      <c r="E58" s="6" t="s">
        <v>28</v>
      </c>
      <c r="F58" s="6" t="s">
        <v>12</v>
      </c>
      <c r="G58" s="6" t="s">
        <v>13</v>
      </c>
      <c r="H58" s="6">
        <v>19</v>
      </c>
      <c r="I58" s="6">
        <v>4</v>
      </c>
      <c r="J58" s="6">
        <v>3</v>
      </c>
    </row>
    <row r="59" spans="1:10" x14ac:dyDescent="0.25">
      <c r="A59" s="1">
        <v>10082</v>
      </c>
      <c r="B59" s="1">
        <v>39</v>
      </c>
      <c r="C59" s="1">
        <v>100031</v>
      </c>
      <c r="D59" s="1" t="s">
        <v>19</v>
      </c>
      <c r="E59" s="1" t="s">
        <v>14</v>
      </c>
      <c r="F59" s="1" t="s">
        <v>12</v>
      </c>
      <c r="G59" s="1" t="s">
        <v>16</v>
      </c>
      <c r="H59" s="1">
        <v>13</v>
      </c>
      <c r="I59" s="1">
        <v>5</v>
      </c>
      <c r="J59" s="1">
        <v>6</v>
      </c>
    </row>
    <row r="60" spans="1:10" x14ac:dyDescent="0.25">
      <c r="A60" s="6">
        <v>10083</v>
      </c>
      <c r="B60" s="6">
        <v>60</v>
      </c>
      <c r="C60" s="6">
        <v>92329</v>
      </c>
      <c r="D60" s="6" t="s">
        <v>10</v>
      </c>
      <c r="E60" s="6" t="s">
        <v>37</v>
      </c>
      <c r="F60" s="6" t="s">
        <v>12</v>
      </c>
      <c r="G60" s="6" t="s">
        <v>13</v>
      </c>
      <c r="H60" s="6">
        <v>16</v>
      </c>
      <c r="I60" s="6">
        <v>3</v>
      </c>
      <c r="J60" s="6">
        <v>4</v>
      </c>
    </row>
    <row r="61" spans="1:10" x14ac:dyDescent="0.25">
      <c r="A61" s="1">
        <v>10085</v>
      </c>
      <c r="B61" s="1">
        <v>38</v>
      </c>
      <c r="C61" s="1">
        <v>93396</v>
      </c>
      <c r="D61" s="1" t="s">
        <v>19</v>
      </c>
      <c r="E61" s="1" t="s">
        <v>20</v>
      </c>
      <c r="F61" s="1" t="s">
        <v>12</v>
      </c>
      <c r="G61" s="1" t="s">
        <v>16</v>
      </c>
      <c r="H61" s="1">
        <v>20</v>
      </c>
      <c r="I61" s="1">
        <v>4</v>
      </c>
      <c r="J61" s="1">
        <v>6</v>
      </c>
    </row>
    <row r="62" spans="1:10" x14ac:dyDescent="0.25">
      <c r="A62" s="6">
        <v>10086</v>
      </c>
      <c r="B62" s="6">
        <v>52</v>
      </c>
      <c r="C62" s="6">
        <v>150290</v>
      </c>
      <c r="D62" s="6" t="s">
        <v>19</v>
      </c>
      <c r="E62" s="6" t="s">
        <v>51</v>
      </c>
      <c r="F62" s="6" t="s">
        <v>12</v>
      </c>
      <c r="G62" s="6" t="s">
        <v>33</v>
      </c>
      <c r="H62" s="6">
        <v>12</v>
      </c>
      <c r="I62" s="6">
        <v>3</v>
      </c>
      <c r="J62" s="6">
        <v>5</v>
      </c>
    </row>
    <row r="63" spans="1:10" x14ac:dyDescent="0.25">
      <c r="A63" s="1">
        <v>10088</v>
      </c>
      <c r="B63" s="1">
        <v>36</v>
      </c>
      <c r="C63" s="1">
        <v>64991</v>
      </c>
      <c r="D63" s="1" t="s">
        <v>19</v>
      </c>
      <c r="E63" s="1" t="s">
        <v>11</v>
      </c>
      <c r="F63" s="1" t="s">
        <v>12</v>
      </c>
      <c r="G63" s="1" t="s">
        <v>16</v>
      </c>
      <c r="H63" s="1">
        <v>15</v>
      </c>
      <c r="I63" s="1">
        <v>5</v>
      </c>
      <c r="J63" s="1">
        <v>0</v>
      </c>
    </row>
    <row r="64" spans="1:10" x14ac:dyDescent="0.25">
      <c r="A64" s="6">
        <v>10089</v>
      </c>
      <c r="B64" s="6">
        <v>71</v>
      </c>
      <c r="C64" s="6">
        <v>250000</v>
      </c>
      <c r="D64" s="6" t="s">
        <v>19</v>
      </c>
      <c r="E64" s="6" t="s">
        <v>45</v>
      </c>
      <c r="F64" s="6" t="s">
        <v>12</v>
      </c>
      <c r="G64" s="6" t="s">
        <v>13</v>
      </c>
      <c r="H64" s="6">
        <v>20</v>
      </c>
      <c r="I64" s="6">
        <v>3</v>
      </c>
      <c r="J64" s="6">
        <v>0</v>
      </c>
    </row>
    <row r="65" spans="1:10" x14ac:dyDescent="0.25">
      <c r="A65" s="1">
        <v>10090</v>
      </c>
      <c r="B65" s="1">
        <v>49</v>
      </c>
      <c r="C65" s="1">
        <v>65714</v>
      </c>
      <c r="D65" s="1" t="s">
        <v>19</v>
      </c>
      <c r="E65" s="1" t="s">
        <v>30</v>
      </c>
      <c r="F65" s="1" t="s">
        <v>12</v>
      </c>
      <c r="G65" s="1" t="s">
        <v>13</v>
      </c>
      <c r="H65" s="1">
        <v>22</v>
      </c>
      <c r="I65" s="1">
        <v>5</v>
      </c>
      <c r="J65" s="1">
        <v>0</v>
      </c>
    </row>
    <row r="66" spans="1:10" x14ac:dyDescent="0.25">
      <c r="A66" s="6">
        <v>10091</v>
      </c>
      <c r="B66" s="6">
        <v>40</v>
      </c>
      <c r="C66" s="6">
        <v>52087</v>
      </c>
      <c r="D66" s="6" t="s">
        <v>19</v>
      </c>
      <c r="E66" s="6" t="s">
        <v>11</v>
      </c>
      <c r="F66" s="6" t="s">
        <v>12</v>
      </c>
      <c r="G66" s="6" t="s">
        <v>13</v>
      </c>
      <c r="H66" s="6">
        <v>25</v>
      </c>
      <c r="I66" s="6">
        <v>4</v>
      </c>
      <c r="J66" s="6">
        <v>0</v>
      </c>
    </row>
    <row r="67" spans="1:10" x14ac:dyDescent="0.25">
      <c r="A67" s="1">
        <v>10094</v>
      </c>
      <c r="B67" s="1">
        <v>48</v>
      </c>
      <c r="C67" s="1">
        <v>63381</v>
      </c>
      <c r="D67" s="1" t="s">
        <v>19</v>
      </c>
      <c r="E67" s="1" t="s">
        <v>11</v>
      </c>
      <c r="F67" s="1" t="s">
        <v>12</v>
      </c>
      <c r="G67" s="1" t="s">
        <v>13</v>
      </c>
      <c r="H67" s="1">
        <v>12</v>
      </c>
      <c r="I67" s="1">
        <v>5</v>
      </c>
      <c r="J67" s="1">
        <v>0</v>
      </c>
    </row>
    <row r="68" spans="1:10" x14ac:dyDescent="0.25">
      <c r="A68" s="6">
        <v>10098</v>
      </c>
      <c r="B68" s="6">
        <v>43</v>
      </c>
      <c r="C68" s="6">
        <v>62957</v>
      </c>
      <c r="D68" s="6" t="s">
        <v>10</v>
      </c>
      <c r="E68" s="6" t="s">
        <v>30</v>
      </c>
      <c r="F68" s="6" t="s">
        <v>12</v>
      </c>
      <c r="G68" s="6" t="s">
        <v>21</v>
      </c>
      <c r="H68" s="6">
        <v>12</v>
      </c>
      <c r="I68" s="6">
        <v>3</v>
      </c>
      <c r="J68" s="6">
        <v>0</v>
      </c>
    </row>
    <row r="69" spans="1:10" x14ac:dyDescent="0.25">
      <c r="A69" s="1">
        <v>10099</v>
      </c>
      <c r="B69" s="1">
        <v>35</v>
      </c>
      <c r="C69" s="1">
        <v>65729</v>
      </c>
      <c r="D69" s="1" t="s">
        <v>19</v>
      </c>
      <c r="E69" s="1" t="s">
        <v>38</v>
      </c>
      <c r="F69" s="1" t="s">
        <v>12</v>
      </c>
      <c r="G69" s="1" t="s">
        <v>33</v>
      </c>
      <c r="H69" s="1">
        <v>14</v>
      </c>
      <c r="I69" s="1">
        <v>4</v>
      </c>
      <c r="J69" s="1">
        <v>0</v>
      </c>
    </row>
    <row r="70" spans="1:10" x14ac:dyDescent="0.25">
      <c r="A70" s="6">
        <v>10101</v>
      </c>
      <c r="B70" s="6">
        <v>44</v>
      </c>
      <c r="C70" s="6">
        <v>61242</v>
      </c>
      <c r="D70" s="6" t="s">
        <v>19</v>
      </c>
      <c r="E70" s="6" t="s">
        <v>23</v>
      </c>
      <c r="F70" s="6" t="s">
        <v>12</v>
      </c>
      <c r="G70" s="6" t="s">
        <v>13</v>
      </c>
      <c r="H70" s="6">
        <v>14</v>
      </c>
      <c r="I70" s="6">
        <v>4</v>
      </c>
      <c r="J70" s="6">
        <v>5</v>
      </c>
    </row>
    <row r="71" spans="1:10" x14ac:dyDescent="0.25">
      <c r="A71" s="1">
        <v>10103</v>
      </c>
      <c r="B71" s="1">
        <v>36</v>
      </c>
      <c r="C71" s="1">
        <v>70468</v>
      </c>
      <c r="D71" s="1" t="s">
        <v>10</v>
      </c>
      <c r="E71" s="1" t="s">
        <v>32</v>
      </c>
      <c r="F71" s="1" t="s">
        <v>12</v>
      </c>
      <c r="G71" s="1" t="s">
        <v>13</v>
      </c>
      <c r="H71" s="1">
        <v>18</v>
      </c>
      <c r="I71" s="1">
        <v>3</v>
      </c>
      <c r="J71" s="1">
        <v>0</v>
      </c>
    </row>
    <row r="72" spans="1:10" x14ac:dyDescent="0.25">
      <c r="A72" s="6">
        <v>10104</v>
      </c>
      <c r="B72" s="6">
        <v>39</v>
      </c>
      <c r="C72" s="6">
        <v>66738</v>
      </c>
      <c r="D72" s="6" t="s">
        <v>19</v>
      </c>
      <c r="E72" s="6" t="s">
        <v>18</v>
      </c>
      <c r="F72" s="6" t="s">
        <v>12</v>
      </c>
      <c r="G72" s="6" t="s">
        <v>16</v>
      </c>
      <c r="H72" s="6">
        <v>21</v>
      </c>
      <c r="I72" s="6">
        <v>5</v>
      </c>
      <c r="J72" s="6">
        <v>0</v>
      </c>
    </row>
    <row r="73" spans="1:10" x14ac:dyDescent="0.25">
      <c r="A73" s="1">
        <v>10105</v>
      </c>
      <c r="B73" s="1">
        <v>51</v>
      </c>
      <c r="C73" s="1">
        <v>75188</v>
      </c>
      <c r="D73" s="1" t="s">
        <v>19</v>
      </c>
      <c r="E73" s="1" t="s">
        <v>30</v>
      </c>
      <c r="F73" s="1" t="s">
        <v>12</v>
      </c>
      <c r="G73" s="1" t="s">
        <v>13</v>
      </c>
      <c r="H73" s="1">
        <v>11</v>
      </c>
      <c r="I73" s="1">
        <v>4</v>
      </c>
      <c r="J73" s="1">
        <v>0</v>
      </c>
    </row>
    <row r="74" spans="1:10" x14ac:dyDescent="0.25">
      <c r="A74" s="6">
        <v>10107</v>
      </c>
      <c r="B74" s="6">
        <v>45</v>
      </c>
      <c r="C74" s="6">
        <v>63763</v>
      </c>
      <c r="D74" s="6" t="s">
        <v>19</v>
      </c>
      <c r="E74" s="6" t="s">
        <v>18</v>
      </c>
      <c r="F74" s="6" t="s">
        <v>12</v>
      </c>
      <c r="G74" s="6" t="s">
        <v>33</v>
      </c>
      <c r="H74" s="6">
        <v>11</v>
      </c>
      <c r="I74" s="6">
        <v>4</v>
      </c>
      <c r="J74" s="6">
        <v>0</v>
      </c>
    </row>
    <row r="75" spans="1:10" x14ac:dyDescent="0.25">
      <c r="A75" s="1">
        <v>10108</v>
      </c>
      <c r="B75" s="1">
        <v>53</v>
      </c>
      <c r="C75" s="1">
        <v>110929</v>
      </c>
      <c r="D75" s="1" t="s">
        <v>10</v>
      </c>
      <c r="E75" s="1" t="s">
        <v>35</v>
      </c>
      <c r="F75" s="1" t="s">
        <v>12</v>
      </c>
      <c r="G75" s="1" t="s">
        <v>13</v>
      </c>
      <c r="H75" s="1">
        <v>15</v>
      </c>
      <c r="I75" s="1">
        <v>5</v>
      </c>
      <c r="J75" s="1">
        <v>7</v>
      </c>
    </row>
    <row r="76" spans="1:10" x14ac:dyDescent="0.25">
      <c r="A76" s="6">
        <v>10110</v>
      </c>
      <c r="B76" s="6">
        <v>38</v>
      </c>
      <c r="C76" s="6">
        <v>105688</v>
      </c>
      <c r="D76" s="6" t="s">
        <v>19</v>
      </c>
      <c r="E76" s="6" t="s">
        <v>20</v>
      </c>
      <c r="F76" s="6" t="s">
        <v>12</v>
      </c>
      <c r="G76" s="6" t="s">
        <v>13</v>
      </c>
      <c r="H76" s="6">
        <v>20</v>
      </c>
      <c r="I76" s="6">
        <v>5</v>
      </c>
      <c r="J76" s="6">
        <v>4</v>
      </c>
    </row>
    <row r="77" spans="1:10" x14ac:dyDescent="0.25">
      <c r="A77" s="1">
        <v>10111</v>
      </c>
      <c r="B77" s="1">
        <v>40</v>
      </c>
      <c r="C77" s="1">
        <v>52249</v>
      </c>
      <c r="D77" s="1" t="s">
        <v>10</v>
      </c>
      <c r="E77" s="1" t="s">
        <v>11</v>
      </c>
      <c r="F77" s="1" t="s">
        <v>12</v>
      </c>
      <c r="G77" s="1" t="s">
        <v>16</v>
      </c>
      <c r="H77" s="1">
        <v>12</v>
      </c>
      <c r="I77" s="1">
        <v>3</v>
      </c>
      <c r="J77" s="1">
        <v>0</v>
      </c>
    </row>
    <row r="78" spans="1:10" x14ac:dyDescent="0.25">
      <c r="A78" s="6">
        <v>10112</v>
      </c>
      <c r="B78" s="6">
        <v>41</v>
      </c>
      <c r="C78" s="6">
        <v>97999</v>
      </c>
      <c r="D78" s="6" t="s">
        <v>19</v>
      </c>
      <c r="E78" s="6" t="s">
        <v>26</v>
      </c>
      <c r="F78" s="6" t="s">
        <v>12</v>
      </c>
      <c r="G78" s="6" t="s">
        <v>16</v>
      </c>
      <c r="H78" s="6">
        <v>12</v>
      </c>
      <c r="I78" s="6">
        <v>5</v>
      </c>
      <c r="J78" s="6">
        <v>6</v>
      </c>
    </row>
    <row r="79" spans="1:10" x14ac:dyDescent="0.25">
      <c r="A79" s="1">
        <v>10113</v>
      </c>
      <c r="B79" s="1">
        <v>39</v>
      </c>
      <c r="C79" s="1">
        <v>93206</v>
      </c>
      <c r="D79" s="1" t="s">
        <v>10</v>
      </c>
      <c r="E79" s="1" t="s">
        <v>37</v>
      </c>
      <c r="F79" s="1" t="s">
        <v>12</v>
      </c>
      <c r="G79" s="1" t="s">
        <v>33</v>
      </c>
      <c r="H79" s="1">
        <v>11</v>
      </c>
      <c r="I79" s="1">
        <v>5</v>
      </c>
      <c r="J79" s="1">
        <v>6</v>
      </c>
    </row>
    <row r="80" spans="1:10" x14ac:dyDescent="0.25">
      <c r="A80" s="6">
        <v>10114</v>
      </c>
      <c r="B80" s="6">
        <v>54</v>
      </c>
      <c r="C80" s="6">
        <v>47837</v>
      </c>
      <c r="D80" s="6" t="s">
        <v>19</v>
      </c>
      <c r="E80" s="6" t="s">
        <v>11</v>
      </c>
      <c r="F80" s="6" t="s">
        <v>12</v>
      </c>
      <c r="G80" s="6" t="s">
        <v>13</v>
      </c>
      <c r="H80" s="6">
        <v>19</v>
      </c>
      <c r="I80" s="6">
        <v>3</v>
      </c>
      <c r="J80" s="6">
        <v>0</v>
      </c>
    </row>
    <row r="81" spans="1:10" x14ac:dyDescent="0.25">
      <c r="A81" s="1">
        <v>10115</v>
      </c>
      <c r="B81" s="1">
        <v>42</v>
      </c>
      <c r="C81" s="1">
        <v>52846</v>
      </c>
      <c r="D81" s="1" t="s">
        <v>10</v>
      </c>
      <c r="E81" s="1" t="s">
        <v>11</v>
      </c>
      <c r="F81" s="1" t="s">
        <v>12</v>
      </c>
      <c r="G81" s="1" t="s">
        <v>13</v>
      </c>
      <c r="H81" s="1">
        <v>18</v>
      </c>
      <c r="I81" s="1">
        <v>3</v>
      </c>
      <c r="J81" s="1">
        <v>0</v>
      </c>
    </row>
    <row r="82" spans="1:10" x14ac:dyDescent="0.25">
      <c r="A82" s="6">
        <v>10116</v>
      </c>
      <c r="B82" s="6">
        <v>43</v>
      </c>
      <c r="C82" s="6">
        <v>83667</v>
      </c>
      <c r="D82" s="6" t="s">
        <v>10</v>
      </c>
      <c r="E82" s="6" t="s">
        <v>30</v>
      </c>
      <c r="F82" s="6" t="s">
        <v>12</v>
      </c>
      <c r="G82" s="6" t="s">
        <v>13</v>
      </c>
      <c r="H82" s="6">
        <v>19</v>
      </c>
      <c r="I82" s="6">
        <v>3</v>
      </c>
      <c r="J82" s="6">
        <v>0</v>
      </c>
    </row>
    <row r="83" spans="1:10" x14ac:dyDescent="0.25">
      <c r="A83" s="1">
        <v>10117</v>
      </c>
      <c r="B83" s="1">
        <v>43</v>
      </c>
      <c r="C83" s="1">
        <v>63025</v>
      </c>
      <c r="D83" s="1" t="s">
        <v>10</v>
      </c>
      <c r="E83" s="1" t="s">
        <v>11</v>
      </c>
      <c r="F83" s="1" t="s">
        <v>12</v>
      </c>
      <c r="G83" s="1" t="s">
        <v>13</v>
      </c>
      <c r="H83" s="1">
        <v>11</v>
      </c>
      <c r="I83" s="1">
        <v>5</v>
      </c>
      <c r="J83" s="1">
        <v>0</v>
      </c>
    </row>
    <row r="84" spans="1:10" x14ac:dyDescent="0.25">
      <c r="A84" s="6">
        <v>10119</v>
      </c>
      <c r="B84" s="6">
        <v>51</v>
      </c>
      <c r="C84" s="6">
        <v>66593</v>
      </c>
      <c r="D84" s="6" t="s">
        <v>19</v>
      </c>
      <c r="E84" s="6" t="s">
        <v>23</v>
      </c>
      <c r="F84" s="6" t="s">
        <v>12</v>
      </c>
      <c r="G84" s="6" t="s">
        <v>13</v>
      </c>
      <c r="H84" s="6">
        <v>11</v>
      </c>
      <c r="I84" s="6">
        <v>3</v>
      </c>
      <c r="J84" s="6">
        <v>5</v>
      </c>
    </row>
    <row r="85" spans="1:10" x14ac:dyDescent="0.25">
      <c r="A85" s="1">
        <v>10120</v>
      </c>
      <c r="B85" s="1">
        <v>51</v>
      </c>
      <c r="C85" s="1">
        <v>74417</v>
      </c>
      <c r="D85" s="1" t="s">
        <v>10</v>
      </c>
      <c r="E85" s="1" t="s">
        <v>18</v>
      </c>
      <c r="F85" s="1" t="s">
        <v>12</v>
      </c>
      <c r="G85" s="1" t="s">
        <v>13</v>
      </c>
      <c r="H85" s="1">
        <v>20</v>
      </c>
      <c r="I85" s="1">
        <v>5</v>
      </c>
      <c r="J85" s="1">
        <v>0</v>
      </c>
    </row>
    <row r="86" spans="1:10" x14ac:dyDescent="0.25">
      <c r="A86" s="6">
        <v>10121</v>
      </c>
      <c r="B86" s="6">
        <v>34</v>
      </c>
      <c r="C86" s="6">
        <v>63051</v>
      </c>
      <c r="D86" s="6" t="s">
        <v>19</v>
      </c>
      <c r="E86" s="6" t="s">
        <v>32</v>
      </c>
      <c r="F86" s="6" t="s">
        <v>12</v>
      </c>
      <c r="G86" s="6" t="s">
        <v>13</v>
      </c>
      <c r="H86" s="6">
        <v>11</v>
      </c>
      <c r="I86" s="6">
        <v>3</v>
      </c>
      <c r="J86" s="6">
        <v>0</v>
      </c>
    </row>
    <row r="87" spans="1:10" x14ac:dyDescent="0.25">
      <c r="A87" s="1">
        <v>10123</v>
      </c>
      <c r="B87" s="1">
        <v>58</v>
      </c>
      <c r="C87" s="1">
        <v>56339</v>
      </c>
      <c r="D87" s="1" t="s">
        <v>19</v>
      </c>
      <c r="E87" s="1" t="s">
        <v>11</v>
      </c>
      <c r="F87" s="1" t="s">
        <v>12</v>
      </c>
      <c r="G87" s="1" t="s">
        <v>13</v>
      </c>
      <c r="H87" s="1">
        <v>18</v>
      </c>
      <c r="I87" s="1">
        <v>5</v>
      </c>
      <c r="J87" s="1">
        <v>0</v>
      </c>
    </row>
    <row r="88" spans="1:10" x14ac:dyDescent="0.25">
      <c r="A88" s="6">
        <v>10124</v>
      </c>
      <c r="B88" s="6">
        <v>37</v>
      </c>
      <c r="C88" s="6">
        <v>61844</v>
      </c>
      <c r="D88" s="6" t="s">
        <v>19</v>
      </c>
      <c r="E88" s="6" t="s">
        <v>32</v>
      </c>
      <c r="F88" s="6" t="s">
        <v>12</v>
      </c>
      <c r="G88" s="6" t="s">
        <v>21</v>
      </c>
      <c r="H88" s="6">
        <v>13</v>
      </c>
      <c r="I88" s="6">
        <v>5</v>
      </c>
      <c r="J88" s="6">
        <v>0</v>
      </c>
    </row>
    <row r="89" spans="1:10" x14ac:dyDescent="0.25">
      <c r="A89" s="1">
        <v>10125</v>
      </c>
      <c r="B89" s="1">
        <v>48</v>
      </c>
      <c r="C89" s="1">
        <v>54828</v>
      </c>
      <c r="D89" s="1" t="s">
        <v>19</v>
      </c>
      <c r="E89" s="1" t="s">
        <v>11</v>
      </c>
      <c r="F89" s="1" t="s">
        <v>12</v>
      </c>
      <c r="G89" s="1" t="s">
        <v>13</v>
      </c>
      <c r="H89" s="1">
        <v>22</v>
      </c>
      <c r="I89" s="1">
        <v>4</v>
      </c>
      <c r="J89" s="1">
        <v>0</v>
      </c>
    </row>
    <row r="90" spans="1:10" x14ac:dyDescent="0.25">
      <c r="A90" s="6">
        <v>10126</v>
      </c>
      <c r="B90" s="6">
        <v>39</v>
      </c>
      <c r="C90" s="6">
        <v>86214</v>
      </c>
      <c r="D90" s="6" t="s">
        <v>19</v>
      </c>
      <c r="E90" s="6" t="s">
        <v>20</v>
      </c>
      <c r="F90" s="6" t="s">
        <v>12</v>
      </c>
      <c r="G90" s="6" t="s">
        <v>13</v>
      </c>
      <c r="H90" s="6">
        <v>15</v>
      </c>
      <c r="I90" s="6">
        <v>3</v>
      </c>
      <c r="J90" s="6">
        <v>6</v>
      </c>
    </row>
    <row r="91" spans="1:10" x14ac:dyDescent="0.25">
      <c r="A91" s="1">
        <v>10127</v>
      </c>
      <c r="B91" s="1">
        <v>47</v>
      </c>
      <c r="C91" s="1">
        <v>107226</v>
      </c>
      <c r="D91" s="1" t="s">
        <v>19</v>
      </c>
      <c r="E91" s="1" t="s">
        <v>37</v>
      </c>
      <c r="F91" s="1" t="s">
        <v>12</v>
      </c>
      <c r="G91" s="1" t="s">
        <v>13</v>
      </c>
      <c r="H91" s="1">
        <v>14</v>
      </c>
      <c r="I91" s="1">
        <v>4</v>
      </c>
      <c r="J91" s="1">
        <v>8</v>
      </c>
    </row>
    <row r="92" spans="1:10" x14ac:dyDescent="0.25">
      <c r="A92" s="6">
        <v>10129</v>
      </c>
      <c r="B92" s="6">
        <v>41</v>
      </c>
      <c r="C92" s="6">
        <v>46998</v>
      </c>
      <c r="D92" s="6" t="s">
        <v>10</v>
      </c>
      <c r="E92" s="6" t="s">
        <v>11</v>
      </c>
      <c r="F92" s="6" t="s">
        <v>12</v>
      </c>
      <c r="G92" s="6" t="s">
        <v>13</v>
      </c>
      <c r="H92" s="6">
        <v>23</v>
      </c>
      <c r="I92" s="6">
        <v>4</v>
      </c>
      <c r="J92" s="6">
        <v>0</v>
      </c>
    </row>
    <row r="93" spans="1:10" x14ac:dyDescent="0.25">
      <c r="A93" s="1">
        <v>10132</v>
      </c>
      <c r="B93" s="1">
        <v>37</v>
      </c>
      <c r="C93" s="1">
        <v>56149</v>
      </c>
      <c r="D93" s="1" t="s">
        <v>19</v>
      </c>
      <c r="E93" s="1" t="s">
        <v>11</v>
      </c>
      <c r="F93" s="1" t="s">
        <v>12</v>
      </c>
      <c r="G93" s="1" t="s">
        <v>16</v>
      </c>
      <c r="H93" s="1">
        <v>12</v>
      </c>
      <c r="I93" s="1">
        <v>5</v>
      </c>
      <c r="J93" s="1">
        <v>0</v>
      </c>
    </row>
    <row r="94" spans="1:10" x14ac:dyDescent="0.25">
      <c r="A94" s="6">
        <v>10133</v>
      </c>
      <c r="B94" s="6">
        <v>37</v>
      </c>
      <c r="C94" s="6">
        <v>70621</v>
      </c>
      <c r="D94" s="6" t="s">
        <v>19</v>
      </c>
      <c r="E94" s="6" t="s">
        <v>23</v>
      </c>
      <c r="F94" s="6" t="s">
        <v>12</v>
      </c>
      <c r="G94" s="6" t="s">
        <v>13</v>
      </c>
      <c r="H94" s="6">
        <v>12</v>
      </c>
      <c r="I94" s="6">
        <v>4</v>
      </c>
      <c r="J94" s="6">
        <v>6</v>
      </c>
    </row>
    <row r="95" spans="1:10" x14ac:dyDescent="0.25">
      <c r="A95" s="1">
        <v>10134</v>
      </c>
      <c r="B95" s="1">
        <v>40</v>
      </c>
      <c r="C95" s="1">
        <v>93046</v>
      </c>
      <c r="D95" s="1" t="s">
        <v>10</v>
      </c>
      <c r="E95" s="1" t="s">
        <v>48</v>
      </c>
      <c r="F95" s="1" t="s">
        <v>12</v>
      </c>
      <c r="G95" s="1" t="s">
        <v>13</v>
      </c>
      <c r="H95" s="1">
        <v>13</v>
      </c>
      <c r="I95" s="1">
        <v>4</v>
      </c>
      <c r="J95" s="1">
        <v>0</v>
      </c>
    </row>
    <row r="96" spans="1:10" x14ac:dyDescent="0.25">
      <c r="A96" s="6">
        <v>10135</v>
      </c>
      <c r="B96" s="6">
        <v>39</v>
      </c>
      <c r="C96" s="6">
        <v>65893</v>
      </c>
      <c r="D96" s="6" t="s">
        <v>10</v>
      </c>
      <c r="E96" s="6" t="s">
        <v>18</v>
      </c>
      <c r="F96" s="6" t="s">
        <v>12</v>
      </c>
      <c r="G96" s="6" t="s">
        <v>13</v>
      </c>
      <c r="H96" s="6">
        <v>13</v>
      </c>
      <c r="I96" s="6">
        <v>4</v>
      </c>
      <c r="J96" s="6">
        <v>0</v>
      </c>
    </row>
    <row r="97" spans="1:10" x14ac:dyDescent="0.25">
      <c r="A97" s="1">
        <v>10136</v>
      </c>
      <c r="B97" s="1">
        <v>37</v>
      </c>
      <c r="C97" s="1">
        <v>65902</v>
      </c>
      <c r="D97" s="1" t="s">
        <v>19</v>
      </c>
      <c r="E97" s="1" t="s">
        <v>18</v>
      </c>
      <c r="F97" s="1" t="s">
        <v>12</v>
      </c>
      <c r="G97" s="1" t="s">
        <v>33</v>
      </c>
      <c r="H97" s="1">
        <v>11</v>
      </c>
      <c r="I97" s="1">
        <v>4</v>
      </c>
      <c r="J97" s="1">
        <v>0</v>
      </c>
    </row>
    <row r="98" spans="1:10" x14ac:dyDescent="0.25">
      <c r="A98" s="6">
        <v>10137</v>
      </c>
      <c r="B98" s="6">
        <v>46</v>
      </c>
      <c r="C98" s="6">
        <v>63450</v>
      </c>
      <c r="D98" s="6" t="s">
        <v>10</v>
      </c>
      <c r="E98" s="6" t="s">
        <v>18</v>
      </c>
      <c r="F98" s="6" t="s">
        <v>12</v>
      </c>
      <c r="G98" s="6" t="s">
        <v>16</v>
      </c>
      <c r="H98" s="6">
        <v>16</v>
      </c>
      <c r="I98" s="6">
        <v>3</v>
      </c>
      <c r="J98" s="6">
        <v>0</v>
      </c>
    </row>
    <row r="99" spans="1:10" x14ac:dyDescent="0.25">
      <c r="A99" s="1">
        <v>10139</v>
      </c>
      <c r="B99" s="1">
        <v>34</v>
      </c>
      <c r="C99" s="1">
        <v>51908</v>
      </c>
      <c r="D99" s="1" t="s">
        <v>19</v>
      </c>
      <c r="E99" s="1" t="s">
        <v>11</v>
      </c>
      <c r="F99" s="1" t="s">
        <v>12</v>
      </c>
      <c r="G99" s="1" t="s">
        <v>29</v>
      </c>
      <c r="H99" s="1">
        <v>13</v>
      </c>
      <c r="I99" s="1">
        <v>3</v>
      </c>
      <c r="J99" s="1">
        <v>0</v>
      </c>
    </row>
    <row r="100" spans="1:10" x14ac:dyDescent="0.25">
      <c r="A100" s="6">
        <v>10140</v>
      </c>
      <c r="B100" s="6">
        <v>70</v>
      </c>
      <c r="C100" s="6">
        <v>61809</v>
      </c>
      <c r="D100" s="6" t="s">
        <v>10</v>
      </c>
      <c r="E100" s="6" t="s">
        <v>32</v>
      </c>
      <c r="F100" s="6" t="s">
        <v>12</v>
      </c>
      <c r="G100" s="6" t="s">
        <v>33</v>
      </c>
      <c r="H100" s="6">
        <v>12</v>
      </c>
      <c r="I100" s="6">
        <v>3</v>
      </c>
      <c r="J100" s="6">
        <v>0</v>
      </c>
    </row>
    <row r="101" spans="1:10" x14ac:dyDescent="0.25">
      <c r="A101" s="1">
        <v>10143</v>
      </c>
      <c r="B101" s="1">
        <v>46</v>
      </c>
      <c r="C101" s="1">
        <v>56294</v>
      </c>
      <c r="D101" s="1" t="s">
        <v>10</v>
      </c>
      <c r="E101" s="1" t="s">
        <v>18</v>
      </c>
      <c r="F101" s="1" t="s">
        <v>12</v>
      </c>
      <c r="G101" s="1" t="s">
        <v>16</v>
      </c>
      <c r="H101" s="1">
        <v>22</v>
      </c>
      <c r="I101" s="1">
        <v>4</v>
      </c>
      <c r="J101" s="1">
        <v>0</v>
      </c>
    </row>
    <row r="102" spans="1:10" x14ac:dyDescent="0.25">
      <c r="A102" s="6">
        <v>10144</v>
      </c>
      <c r="B102" s="6">
        <v>56</v>
      </c>
      <c r="C102" s="6">
        <v>88976</v>
      </c>
      <c r="D102" s="6" t="s">
        <v>10</v>
      </c>
      <c r="E102" s="6" t="s">
        <v>30</v>
      </c>
      <c r="F102" s="6" t="s">
        <v>12</v>
      </c>
      <c r="G102" s="6" t="s">
        <v>13</v>
      </c>
      <c r="H102" s="6">
        <v>20</v>
      </c>
      <c r="I102" s="6">
        <v>3</v>
      </c>
      <c r="J102" s="6">
        <v>0</v>
      </c>
    </row>
    <row r="103" spans="1:10" x14ac:dyDescent="0.25">
      <c r="A103" s="1">
        <v>10145</v>
      </c>
      <c r="B103" s="1">
        <v>38</v>
      </c>
      <c r="C103" s="1">
        <v>62810</v>
      </c>
      <c r="D103" s="1" t="s">
        <v>19</v>
      </c>
      <c r="E103" s="1" t="s">
        <v>11</v>
      </c>
      <c r="F103" s="1" t="s">
        <v>12</v>
      </c>
      <c r="G103" s="1" t="s">
        <v>13</v>
      </c>
      <c r="H103" s="1">
        <v>19</v>
      </c>
      <c r="I103" s="1">
        <v>3</v>
      </c>
      <c r="J103" s="1">
        <v>0</v>
      </c>
    </row>
    <row r="104" spans="1:10" x14ac:dyDescent="0.25">
      <c r="A104" s="6">
        <v>10147</v>
      </c>
      <c r="B104" s="6">
        <v>39</v>
      </c>
      <c r="C104" s="6">
        <v>63003</v>
      </c>
      <c r="D104" s="6" t="s">
        <v>10</v>
      </c>
      <c r="E104" s="6" t="s">
        <v>31</v>
      </c>
      <c r="F104" s="6" t="s">
        <v>12</v>
      </c>
      <c r="G104" s="6" t="s">
        <v>16</v>
      </c>
      <c r="H104" s="6">
        <v>19</v>
      </c>
      <c r="I104" s="6">
        <v>1</v>
      </c>
      <c r="J104" s="6">
        <v>5</v>
      </c>
    </row>
    <row r="105" spans="1:10" x14ac:dyDescent="0.25">
      <c r="A105" s="1">
        <v>10150</v>
      </c>
      <c r="B105" s="1">
        <v>58</v>
      </c>
      <c r="C105" s="1">
        <v>77692</v>
      </c>
      <c r="D105" s="1" t="s">
        <v>10</v>
      </c>
      <c r="E105" s="1" t="s">
        <v>34</v>
      </c>
      <c r="F105" s="1" t="s">
        <v>12</v>
      </c>
      <c r="G105" s="1" t="s">
        <v>13</v>
      </c>
      <c r="H105" s="1">
        <v>13</v>
      </c>
      <c r="I105" s="1">
        <v>3</v>
      </c>
      <c r="J105" s="1">
        <v>5</v>
      </c>
    </row>
    <row r="106" spans="1:10" x14ac:dyDescent="0.25">
      <c r="A106" s="6">
        <v>10151</v>
      </c>
      <c r="B106" s="6">
        <v>46</v>
      </c>
      <c r="C106" s="6">
        <v>52599</v>
      </c>
      <c r="D106" s="6" t="s">
        <v>19</v>
      </c>
      <c r="E106" s="6" t="s">
        <v>41</v>
      </c>
      <c r="F106" s="6" t="s">
        <v>12</v>
      </c>
      <c r="G106" s="6" t="s">
        <v>33</v>
      </c>
      <c r="H106" s="6">
        <v>11</v>
      </c>
      <c r="I106" s="6">
        <v>3</v>
      </c>
      <c r="J106" s="6">
        <v>6</v>
      </c>
    </row>
    <row r="107" spans="1:10" x14ac:dyDescent="0.25">
      <c r="A107" s="1">
        <v>10154</v>
      </c>
      <c r="B107" s="1">
        <v>42</v>
      </c>
      <c r="C107" s="1">
        <v>60380</v>
      </c>
      <c r="D107" s="1" t="s">
        <v>10</v>
      </c>
      <c r="E107" s="1" t="s">
        <v>11</v>
      </c>
      <c r="F107" s="1" t="s">
        <v>12</v>
      </c>
      <c r="G107" s="1" t="s">
        <v>13</v>
      </c>
      <c r="H107" s="1">
        <v>24</v>
      </c>
      <c r="I107" s="1">
        <v>5</v>
      </c>
      <c r="J107" s="1">
        <v>0</v>
      </c>
    </row>
    <row r="108" spans="1:10" x14ac:dyDescent="0.25">
      <c r="A108" s="6">
        <v>10155</v>
      </c>
      <c r="B108" s="6">
        <v>46</v>
      </c>
      <c r="C108" s="6">
        <v>101199</v>
      </c>
      <c r="D108" s="6" t="s">
        <v>19</v>
      </c>
      <c r="E108" s="6" t="s">
        <v>20</v>
      </c>
      <c r="F108" s="6" t="s">
        <v>12</v>
      </c>
      <c r="G108" s="6" t="s">
        <v>13</v>
      </c>
      <c r="H108" s="6">
        <v>11</v>
      </c>
      <c r="I108" s="6">
        <v>5</v>
      </c>
      <c r="J108" s="6">
        <v>5</v>
      </c>
    </row>
    <row r="109" spans="1:10" x14ac:dyDescent="0.25">
      <c r="A109" s="1">
        <v>10156</v>
      </c>
      <c r="B109" s="1">
        <v>39</v>
      </c>
      <c r="C109" s="1">
        <v>105700</v>
      </c>
      <c r="D109" s="1" t="s">
        <v>19</v>
      </c>
      <c r="E109" s="1" t="s">
        <v>26</v>
      </c>
      <c r="F109" s="1" t="s">
        <v>12</v>
      </c>
      <c r="G109" s="1" t="s">
        <v>33</v>
      </c>
      <c r="H109" s="1">
        <v>18</v>
      </c>
      <c r="I109" s="1">
        <v>3</v>
      </c>
      <c r="J109" s="1">
        <v>5</v>
      </c>
    </row>
    <row r="110" spans="1:10" x14ac:dyDescent="0.25">
      <c r="A110" s="6">
        <v>10157</v>
      </c>
      <c r="B110" s="6">
        <v>60</v>
      </c>
      <c r="C110" s="6">
        <v>58939</v>
      </c>
      <c r="D110" s="6" t="s">
        <v>19</v>
      </c>
      <c r="E110" s="6" t="s">
        <v>11</v>
      </c>
      <c r="F110" s="6" t="s">
        <v>12</v>
      </c>
      <c r="G110" s="6" t="s">
        <v>16</v>
      </c>
      <c r="H110" s="6">
        <v>12</v>
      </c>
      <c r="I110" s="6">
        <v>3</v>
      </c>
      <c r="J110" s="6">
        <v>0</v>
      </c>
    </row>
    <row r="111" spans="1:10" x14ac:dyDescent="0.25">
      <c r="A111" s="1">
        <v>10158</v>
      </c>
      <c r="B111" s="1">
        <v>47</v>
      </c>
      <c r="C111" s="1">
        <v>63682</v>
      </c>
      <c r="D111" s="1" t="s">
        <v>19</v>
      </c>
      <c r="E111" s="1" t="s">
        <v>30</v>
      </c>
      <c r="F111" s="1" t="s">
        <v>12</v>
      </c>
      <c r="G111" s="1" t="s">
        <v>16</v>
      </c>
      <c r="H111" s="1">
        <v>18</v>
      </c>
      <c r="I111" s="1">
        <v>4</v>
      </c>
      <c r="J111" s="1">
        <v>0</v>
      </c>
    </row>
    <row r="112" spans="1:10" x14ac:dyDescent="0.25">
      <c r="A112" s="6">
        <v>10159</v>
      </c>
      <c r="B112" s="6">
        <v>35</v>
      </c>
      <c r="C112" s="6">
        <v>51337</v>
      </c>
      <c r="D112" s="6" t="s">
        <v>19</v>
      </c>
      <c r="E112" s="6" t="s">
        <v>11</v>
      </c>
      <c r="F112" s="6" t="s">
        <v>12</v>
      </c>
      <c r="G112" s="6" t="s">
        <v>13</v>
      </c>
      <c r="H112" s="6">
        <v>11</v>
      </c>
      <c r="I112" s="6">
        <v>3</v>
      </c>
      <c r="J112" s="6">
        <v>0</v>
      </c>
    </row>
    <row r="113" spans="1:10" x14ac:dyDescent="0.25">
      <c r="A113" s="1">
        <v>10161</v>
      </c>
      <c r="B113" s="1">
        <v>60</v>
      </c>
      <c r="C113" s="1">
        <v>58370</v>
      </c>
      <c r="D113" s="1" t="s">
        <v>19</v>
      </c>
      <c r="E113" s="1" t="s">
        <v>32</v>
      </c>
      <c r="F113" s="1" t="s">
        <v>12</v>
      </c>
      <c r="G113" s="1" t="s">
        <v>13</v>
      </c>
      <c r="H113" s="1">
        <v>16</v>
      </c>
      <c r="I113" s="1">
        <v>3</v>
      </c>
      <c r="J113" s="1">
        <v>0</v>
      </c>
    </row>
    <row r="114" spans="1:10" x14ac:dyDescent="0.25">
      <c r="A114" s="6">
        <v>10162</v>
      </c>
      <c r="B114" s="6">
        <v>43</v>
      </c>
      <c r="C114" s="6">
        <v>89883</v>
      </c>
      <c r="D114" s="6" t="s">
        <v>19</v>
      </c>
      <c r="E114" s="6" t="s">
        <v>24</v>
      </c>
      <c r="F114" s="6" t="s">
        <v>12</v>
      </c>
      <c r="G114" s="6" t="s">
        <v>13</v>
      </c>
      <c r="H114" s="6">
        <v>12</v>
      </c>
      <c r="I114" s="6">
        <v>5</v>
      </c>
      <c r="J114" s="6">
        <v>6</v>
      </c>
    </row>
    <row r="115" spans="1:10" x14ac:dyDescent="0.25">
      <c r="A115" s="1">
        <v>10164</v>
      </c>
      <c r="B115" s="1">
        <v>43</v>
      </c>
      <c r="C115" s="1">
        <v>47001</v>
      </c>
      <c r="D115" s="1" t="s">
        <v>10</v>
      </c>
      <c r="E115" s="1" t="s">
        <v>11</v>
      </c>
      <c r="F115" s="1" t="s">
        <v>12</v>
      </c>
      <c r="G115" s="1" t="s">
        <v>16</v>
      </c>
      <c r="H115" s="1">
        <v>12</v>
      </c>
      <c r="I115" s="1">
        <v>3</v>
      </c>
      <c r="J115" s="1">
        <v>0</v>
      </c>
    </row>
    <row r="116" spans="1:10" x14ac:dyDescent="0.25">
      <c r="A116" s="6">
        <v>10165</v>
      </c>
      <c r="B116" s="6">
        <v>56</v>
      </c>
      <c r="C116" s="6">
        <v>71339</v>
      </c>
      <c r="D116" s="6" t="s">
        <v>10</v>
      </c>
      <c r="E116" s="6" t="s">
        <v>32</v>
      </c>
      <c r="F116" s="6" t="s">
        <v>12</v>
      </c>
      <c r="G116" s="6" t="s">
        <v>13</v>
      </c>
      <c r="H116" s="6">
        <v>15</v>
      </c>
      <c r="I116" s="6">
        <v>5</v>
      </c>
      <c r="J116" s="6">
        <v>0</v>
      </c>
    </row>
    <row r="117" spans="1:10" x14ac:dyDescent="0.25">
      <c r="A117" s="1">
        <v>10167</v>
      </c>
      <c r="B117" s="1">
        <v>37</v>
      </c>
      <c r="C117" s="1">
        <v>70545</v>
      </c>
      <c r="D117" s="1" t="s">
        <v>10</v>
      </c>
      <c r="E117" s="1" t="s">
        <v>32</v>
      </c>
      <c r="F117" s="1" t="s">
        <v>12</v>
      </c>
      <c r="G117" s="1" t="s">
        <v>13</v>
      </c>
      <c r="H117" s="1">
        <v>13</v>
      </c>
      <c r="I117" s="1">
        <v>5</v>
      </c>
      <c r="J117" s="1">
        <v>0</v>
      </c>
    </row>
    <row r="118" spans="1:10" x14ac:dyDescent="0.25">
      <c r="A118" s="6">
        <v>10168</v>
      </c>
      <c r="B118" s="6">
        <v>37</v>
      </c>
      <c r="C118" s="6">
        <v>64816</v>
      </c>
      <c r="D118" s="6" t="s">
        <v>19</v>
      </c>
      <c r="E118" s="6" t="s">
        <v>11</v>
      </c>
      <c r="F118" s="6" t="s">
        <v>12</v>
      </c>
      <c r="G118" s="6" t="s">
        <v>13</v>
      </c>
      <c r="H118" s="6">
        <v>16</v>
      </c>
      <c r="I118" s="6">
        <v>5</v>
      </c>
      <c r="J118" s="6">
        <v>0</v>
      </c>
    </row>
    <row r="119" spans="1:10" x14ac:dyDescent="0.25">
      <c r="A119" s="1">
        <v>10169</v>
      </c>
      <c r="B119" s="1">
        <v>36</v>
      </c>
      <c r="C119" s="1">
        <v>56147</v>
      </c>
      <c r="D119" s="1" t="s">
        <v>19</v>
      </c>
      <c r="E119" s="1" t="s">
        <v>11</v>
      </c>
      <c r="F119" s="1" t="s">
        <v>12</v>
      </c>
      <c r="G119" s="1" t="s">
        <v>13</v>
      </c>
      <c r="H119" s="1">
        <v>17</v>
      </c>
      <c r="I119" s="1">
        <v>3</v>
      </c>
      <c r="J119" s="1">
        <v>0</v>
      </c>
    </row>
    <row r="120" spans="1:10" x14ac:dyDescent="0.25">
      <c r="A120" s="6">
        <v>10172</v>
      </c>
      <c r="B120" s="6">
        <v>44</v>
      </c>
      <c r="C120" s="6">
        <v>84903</v>
      </c>
      <c r="D120" s="6" t="s">
        <v>10</v>
      </c>
      <c r="E120" s="6" t="s">
        <v>47</v>
      </c>
      <c r="F120" s="6" t="s">
        <v>12</v>
      </c>
      <c r="G120" s="6" t="s">
        <v>13</v>
      </c>
      <c r="H120" s="6">
        <v>11</v>
      </c>
      <c r="I120" s="6">
        <v>4</v>
      </c>
      <c r="J120" s="6">
        <v>7</v>
      </c>
    </row>
    <row r="121" spans="1:10" x14ac:dyDescent="0.25">
      <c r="A121" s="1">
        <v>10173</v>
      </c>
      <c r="B121" s="1">
        <v>37</v>
      </c>
      <c r="C121" s="1">
        <v>90100</v>
      </c>
      <c r="D121" s="1" t="s">
        <v>10</v>
      </c>
      <c r="E121" s="1" t="s">
        <v>39</v>
      </c>
      <c r="F121" s="1" t="s">
        <v>12</v>
      </c>
      <c r="G121" s="1" t="s">
        <v>13</v>
      </c>
      <c r="H121" s="1">
        <v>14</v>
      </c>
      <c r="I121" s="1">
        <v>3</v>
      </c>
      <c r="J121" s="1">
        <v>6</v>
      </c>
    </row>
    <row r="122" spans="1:10" x14ac:dyDescent="0.25">
      <c r="A122" s="6">
        <v>10174</v>
      </c>
      <c r="B122" s="6">
        <v>40</v>
      </c>
      <c r="C122" s="6">
        <v>60446</v>
      </c>
      <c r="D122" s="6" t="s">
        <v>19</v>
      </c>
      <c r="E122" s="6" t="s">
        <v>18</v>
      </c>
      <c r="F122" s="6" t="s">
        <v>12</v>
      </c>
      <c r="G122" s="6" t="s">
        <v>16</v>
      </c>
      <c r="H122" s="6">
        <v>13</v>
      </c>
      <c r="I122" s="6">
        <v>4</v>
      </c>
      <c r="J122" s="6">
        <v>0</v>
      </c>
    </row>
    <row r="123" spans="1:10" x14ac:dyDescent="0.25">
      <c r="A123" s="1">
        <v>10176</v>
      </c>
      <c r="B123" s="1">
        <v>45</v>
      </c>
      <c r="C123" s="1">
        <v>63973</v>
      </c>
      <c r="D123" s="1" t="s">
        <v>10</v>
      </c>
      <c r="E123" s="1" t="s">
        <v>11</v>
      </c>
      <c r="F123" s="1" t="s">
        <v>12</v>
      </c>
      <c r="G123" s="1" t="s">
        <v>33</v>
      </c>
      <c r="H123" s="1">
        <v>20</v>
      </c>
      <c r="I123" s="1">
        <v>3</v>
      </c>
      <c r="J123" s="1">
        <v>0</v>
      </c>
    </row>
    <row r="124" spans="1:10" x14ac:dyDescent="0.25">
      <c r="A124" s="6">
        <v>10178</v>
      </c>
      <c r="B124" s="6">
        <v>55</v>
      </c>
      <c r="C124" s="6">
        <v>87826</v>
      </c>
      <c r="D124" s="6" t="s">
        <v>10</v>
      </c>
      <c r="E124" s="6" t="s">
        <v>24</v>
      </c>
      <c r="F124" s="6" t="s">
        <v>12</v>
      </c>
      <c r="G124" s="6" t="s">
        <v>13</v>
      </c>
      <c r="H124" s="6">
        <v>15</v>
      </c>
      <c r="I124" s="6">
        <v>3</v>
      </c>
      <c r="J124" s="6">
        <v>7</v>
      </c>
    </row>
    <row r="125" spans="1:10" x14ac:dyDescent="0.25">
      <c r="A125" s="1">
        <v>10179</v>
      </c>
      <c r="B125" s="1">
        <v>44</v>
      </c>
      <c r="C125" s="1">
        <v>50750</v>
      </c>
      <c r="D125" s="1" t="s">
        <v>19</v>
      </c>
      <c r="E125" s="1" t="s">
        <v>41</v>
      </c>
      <c r="F125" s="1" t="s">
        <v>12</v>
      </c>
      <c r="G125" s="1" t="s">
        <v>13</v>
      </c>
      <c r="H125" s="2">
        <v>15.260586319218241</v>
      </c>
      <c r="I125" s="1">
        <v>3</v>
      </c>
      <c r="J125" s="1">
        <v>6</v>
      </c>
    </row>
    <row r="126" spans="1:10" x14ac:dyDescent="0.25">
      <c r="A126" s="6">
        <v>10180</v>
      </c>
      <c r="B126" s="6">
        <v>42</v>
      </c>
      <c r="C126" s="6">
        <v>87565</v>
      </c>
      <c r="D126" s="6" t="s">
        <v>10</v>
      </c>
      <c r="E126" s="6" t="s">
        <v>37</v>
      </c>
      <c r="F126" s="6" t="s">
        <v>12</v>
      </c>
      <c r="G126" s="6" t="s">
        <v>13</v>
      </c>
      <c r="H126" s="6">
        <v>23</v>
      </c>
      <c r="I126" s="6">
        <v>4</v>
      </c>
      <c r="J126" s="6">
        <v>5</v>
      </c>
    </row>
    <row r="127" spans="1:10" x14ac:dyDescent="0.25">
      <c r="A127" s="1">
        <v>10181</v>
      </c>
      <c r="B127" s="1">
        <v>48</v>
      </c>
      <c r="C127" s="1">
        <v>62162</v>
      </c>
      <c r="D127" s="1" t="s">
        <v>10</v>
      </c>
      <c r="E127" s="1" t="s">
        <v>18</v>
      </c>
      <c r="F127" s="1" t="s">
        <v>12</v>
      </c>
      <c r="G127" s="1" t="s">
        <v>13</v>
      </c>
      <c r="H127" s="1">
        <v>19</v>
      </c>
      <c r="I127" s="1">
        <v>5</v>
      </c>
      <c r="J127" s="1">
        <v>0</v>
      </c>
    </row>
    <row r="128" spans="1:10" x14ac:dyDescent="0.25">
      <c r="A128" s="6">
        <v>10183</v>
      </c>
      <c r="B128" s="6">
        <v>40</v>
      </c>
      <c r="C128" s="6">
        <v>62068</v>
      </c>
      <c r="D128" s="6" t="s">
        <v>19</v>
      </c>
      <c r="E128" s="6" t="s">
        <v>11</v>
      </c>
      <c r="F128" s="6" t="s">
        <v>12</v>
      </c>
      <c r="G128" s="6" t="s">
        <v>13</v>
      </c>
      <c r="H128" s="6">
        <v>13</v>
      </c>
      <c r="I128" s="6">
        <v>3</v>
      </c>
      <c r="J128" s="6">
        <v>0</v>
      </c>
    </row>
    <row r="129" spans="1:10" x14ac:dyDescent="0.25">
      <c r="A129" s="1">
        <v>10184</v>
      </c>
      <c r="B129" s="1">
        <v>42</v>
      </c>
      <c r="C129" s="1">
        <v>65288</v>
      </c>
      <c r="D129" s="1" t="s">
        <v>10</v>
      </c>
      <c r="E129" s="1" t="s">
        <v>18</v>
      </c>
      <c r="F129" s="1" t="s">
        <v>12</v>
      </c>
      <c r="G129" s="1" t="s">
        <v>13</v>
      </c>
      <c r="H129" s="1">
        <v>11</v>
      </c>
      <c r="I129" s="1">
        <v>3</v>
      </c>
      <c r="J129" s="1">
        <v>0</v>
      </c>
    </row>
    <row r="130" spans="1:10" x14ac:dyDescent="0.25">
      <c r="A130" s="6">
        <v>10190</v>
      </c>
      <c r="B130" s="6">
        <v>48</v>
      </c>
      <c r="C130" s="6">
        <v>66541</v>
      </c>
      <c r="D130" s="6" t="s">
        <v>10</v>
      </c>
      <c r="E130" s="6" t="s">
        <v>18</v>
      </c>
      <c r="F130" s="6" t="s">
        <v>12</v>
      </c>
      <c r="G130" s="6" t="s">
        <v>33</v>
      </c>
      <c r="H130" s="6">
        <v>13</v>
      </c>
      <c r="I130" s="6">
        <v>5</v>
      </c>
      <c r="J130" s="6">
        <v>0</v>
      </c>
    </row>
    <row r="131" spans="1:10" x14ac:dyDescent="0.25">
      <c r="A131" s="1">
        <v>10192</v>
      </c>
      <c r="B131" s="1">
        <v>49</v>
      </c>
      <c r="C131" s="1">
        <v>50482</v>
      </c>
      <c r="D131" s="1" t="s">
        <v>10</v>
      </c>
      <c r="E131" s="1" t="s">
        <v>11</v>
      </c>
      <c r="F131" s="1" t="s">
        <v>12</v>
      </c>
      <c r="G131" s="1" t="s">
        <v>13</v>
      </c>
      <c r="H131" s="1">
        <v>20</v>
      </c>
      <c r="I131" s="1">
        <v>4</v>
      </c>
      <c r="J131" s="1">
        <v>0</v>
      </c>
    </row>
    <row r="132" spans="1:10" x14ac:dyDescent="0.25">
      <c r="A132" s="6">
        <v>10193</v>
      </c>
      <c r="B132" s="6">
        <v>39</v>
      </c>
      <c r="C132" s="6">
        <v>83552</v>
      </c>
      <c r="D132" s="6" t="s">
        <v>10</v>
      </c>
      <c r="E132" s="6" t="s">
        <v>24</v>
      </c>
      <c r="F132" s="6" t="s">
        <v>12</v>
      </c>
      <c r="G132" s="6" t="s">
        <v>16</v>
      </c>
      <c r="H132" s="6">
        <v>13</v>
      </c>
      <c r="I132" s="6">
        <v>3</v>
      </c>
      <c r="J132" s="6">
        <v>6</v>
      </c>
    </row>
    <row r="133" spans="1:10" x14ac:dyDescent="0.25">
      <c r="A133" s="1">
        <v>10194</v>
      </c>
      <c r="B133" s="1">
        <v>46</v>
      </c>
      <c r="C133" s="1">
        <v>95660</v>
      </c>
      <c r="D133" s="1" t="s">
        <v>19</v>
      </c>
      <c r="E133" s="1" t="s">
        <v>20</v>
      </c>
      <c r="F133" s="1" t="s">
        <v>12</v>
      </c>
      <c r="G133" s="1" t="s">
        <v>33</v>
      </c>
      <c r="H133" s="1">
        <v>12</v>
      </c>
      <c r="I133" s="1">
        <v>5</v>
      </c>
      <c r="J133" s="1">
        <v>4</v>
      </c>
    </row>
    <row r="134" spans="1:10" x14ac:dyDescent="0.25">
      <c r="A134" s="6">
        <v>10197</v>
      </c>
      <c r="B134" s="6">
        <v>42</v>
      </c>
      <c r="C134" s="6">
        <v>96820</v>
      </c>
      <c r="D134" s="6" t="s">
        <v>10</v>
      </c>
      <c r="E134" s="6" t="s">
        <v>39</v>
      </c>
      <c r="F134" s="6" t="s">
        <v>12</v>
      </c>
      <c r="G134" s="6" t="s">
        <v>29</v>
      </c>
      <c r="H134" s="6">
        <v>19</v>
      </c>
      <c r="I134" s="6">
        <v>5</v>
      </c>
      <c r="J134" s="6">
        <v>7</v>
      </c>
    </row>
    <row r="135" spans="1:10" x14ac:dyDescent="0.25">
      <c r="A135" s="1">
        <v>10198</v>
      </c>
      <c r="B135" s="1">
        <v>52</v>
      </c>
      <c r="C135" s="1">
        <v>140920</v>
      </c>
      <c r="D135" s="1" t="s">
        <v>10</v>
      </c>
      <c r="E135" s="1" t="s">
        <v>52</v>
      </c>
      <c r="F135" s="1" t="s">
        <v>12</v>
      </c>
      <c r="G135" s="1" t="s">
        <v>13</v>
      </c>
      <c r="H135" s="1">
        <v>11</v>
      </c>
      <c r="I135" s="1">
        <v>5</v>
      </c>
      <c r="J135" s="1">
        <v>7</v>
      </c>
    </row>
    <row r="136" spans="1:10" x14ac:dyDescent="0.25">
      <c r="A136" s="6">
        <v>10200</v>
      </c>
      <c r="B136" s="6">
        <v>54</v>
      </c>
      <c r="C136" s="6">
        <v>66808</v>
      </c>
      <c r="D136" s="6" t="s">
        <v>10</v>
      </c>
      <c r="E136" s="6" t="s">
        <v>32</v>
      </c>
      <c r="F136" s="6" t="s">
        <v>12</v>
      </c>
      <c r="G136" s="6" t="s">
        <v>13</v>
      </c>
      <c r="H136" s="6">
        <v>16</v>
      </c>
      <c r="I136" s="6">
        <v>5</v>
      </c>
      <c r="J136" s="6">
        <v>0</v>
      </c>
    </row>
    <row r="137" spans="1:10" x14ac:dyDescent="0.25">
      <c r="A137" s="1">
        <v>10201</v>
      </c>
      <c r="B137" s="1">
        <v>40</v>
      </c>
      <c r="C137" s="1">
        <v>69340</v>
      </c>
      <c r="D137" s="1" t="s">
        <v>19</v>
      </c>
      <c r="E137" s="1" t="s">
        <v>18</v>
      </c>
      <c r="F137" s="1" t="s">
        <v>12</v>
      </c>
      <c r="G137" s="1" t="s">
        <v>13</v>
      </c>
      <c r="H137" s="1">
        <v>11</v>
      </c>
      <c r="I137" s="1">
        <v>5</v>
      </c>
      <c r="J137" s="1">
        <v>0</v>
      </c>
    </row>
    <row r="138" spans="1:10" x14ac:dyDescent="0.25">
      <c r="A138" s="6">
        <v>10202</v>
      </c>
      <c r="B138" s="6">
        <v>41</v>
      </c>
      <c r="C138" s="6">
        <v>63291</v>
      </c>
      <c r="D138" s="6" t="s">
        <v>10</v>
      </c>
      <c r="E138" s="6" t="s">
        <v>32</v>
      </c>
      <c r="F138" s="6" t="s">
        <v>12</v>
      </c>
      <c r="G138" s="6" t="s">
        <v>13</v>
      </c>
      <c r="H138" s="6">
        <v>19</v>
      </c>
      <c r="I138" s="6">
        <v>4</v>
      </c>
      <c r="J138" s="6">
        <v>0</v>
      </c>
    </row>
    <row r="139" spans="1:10" x14ac:dyDescent="0.25">
      <c r="A139" s="1">
        <v>10203</v>
      </c>
      <c r="B139" s="1">
        <v>55</v>
      </c>
      <c r="C139" s="1">
        <v>64375</v>
      </c>
      <c r="D139" s="1" t="s">
        <v>19</v>
      </c>
      <c r="E139" s="1" t="s">
        <v>11</v>
      </c>
      <c r="F139" s="1" t="s">
        <v>12</v>
      </c>
      <c r="G139" s="1" t="s">
        <v>13</v>
      </c>
      <c r="H139" s="1">
        <v>24</v>
      </c>
      <c r="I139" s="1">
        <v>5</v>
      </c>
      <c r="J139" s="1">
        <v>0</v>
      </c>
    </row>
    <row r="140" spans="1:10" x14ac:dyDescent="0.25">
      <c r="A140" s="6">
        <v>10205</v>
      </c>
      <c r="B140" s="6">
        <v>38</v>
      </c>
      <c r="C140" s="6">
        <v>57859</v>
      </c>
      <c r="D140" s="6" t="s">
        <v>19</v>
      </c>
      <c r="E140" s="6" t="s">
        <v>32</v>
      </c>
      <c r="F140" s="6" t="s">
        <v>12</v>
      </c>
      <c r="G140" s="6" t="s">
        <v>13</v>
      </c>
      <c r="H140" s="6">
        <v>14</v>
      </c>
      <c r="I140" s="6">
        <v>3</v>
      </c>
      <c r="J140" s="6">
        <v>0</v>
      </c>
    </row>
    <row r="141" spans="1:10" x14ac:dyDescent="0.25">
      <c r="A141" s="1">
        <v>10206</v>
      </c>
      <c r="B141" s="1">
        <v>41</v>
      </c>
      <c r="C141" s="1">
        <v>62061</v>
      </c>
      <c r="D141" s="1" t="s">
        <v>19</v>
      </c>
      <c r="E141" s="1" t="s">
        <v>11</v>
      </c>
      <c r="F141" s="1" t="s">
        <v>12</v>
      </c>
      <c r="G141" s="1" t="s">
        <v>13</v>
      </c>
      <c r="H141" s="1">
        <v>14</v>
      </c>
      <c r="I141" s="1">
        <v>5</v>
      </c>
      <c r="J141" s="1">
        <v>0</v>
      </c>
    </row>
    <row r="142" spans="1:10" x14ac:dyDescent="0.25">
      <c r="A142" s="6">
        <v>10207</v>
      </c>
      <c r="B142" s="6">
        <v>39</v>
      </c>
      <c r="C142" s="6">
        <v>46335</v>
      </c>
      <c r="D142" s="6" t="s">
        <v>19</v>
      </c>
      <c r="E142" s="6" t="s">
        <v>11</v>
      </c>
      <c r="F142" s="6" t="s">
        <v>12</v>
      </c>
      <c r="G142" s="6" t="s">
        <v>13</v>
      </c>
      <c r="H142" s="6">
        <v>12</v>
      </c>
      <c r="I142" s="6">
        <v>5</v>
      </c>
      <c r="J142" s="6">
        <v>0</v>
      </c>
    </row>
    <row r="143" spans="1:10" x14ac:dyDescent="0.25">
      <c r="A143" s="1">
        <v>10208</v>
      </c>
      <c r="B143" s="1">
        <v>47</v>
      </c>
      <c r="C143" s="1">
        <v>46654</v>
      </c>
      <c r="D143" s="1" t="s">
        <v>10</v>
      </c>
      <c r="E143" s="1" t="s">
        <v>11</v>
      </c>
      <c r="F143" s="1" t="s">
        <v>12</v>
      </c>
      <c r="G143" s="1" t="s">
        <v>13</v>
      </c>
      <c r="H143" s="1">
        <v>21</v>
      </c>
      <c r="I143" s="1">
        <v>3</v>
      </c>
      <c r="J143" s="1">
        <v>0</v>
      </c>
    </row>
    <row r="144" spans="1:10" x14ac:dyDescent="0.25">
      <c r="A144" s="6">
        <v>10209</v>
      </c>
      <c r="B144" s="6">
        <v>57</v>
      </c>
      <c r="C144" s="6">
        <v>59238</v>
      </c>
      <c r="D144" s="6" t="s">
        <v>19</v>
      </c>
      <c r="E144" s="6" t="s">
        <v>11</v>
      </c>
      <c r="F144" s="6" t="s">
        <v>12</v>
      </c>
      <c r="G144" s="6" t="s">
        <v>13</v>
      </c>
      <c r="H144" s="6">
        <v>17</v>
      </c>
      <c r="I144" s="6">
        <v>5</v>
      </c>
      <c r="J144" s="6">
        <v>0</v>
      </c>
    </row>
    <row r="145" spans="1:10" x14ac:dyDescent="0.25">
      <c r="A145" s="1">
        <v>10210</v>
      </c>
      <c r="B145" s="1">
        <v>45</v>
      </c>
      <c r="C145" s="1">
        <v>54237</v>
      </c>
      <c r="D145" s="1" t="s">
        <v>19</v>
      </c>
      <c r="E145" s="1" t="s">
        <v>11</v>
      </c>
      <c r="F145" s="1" t="s">
        <v>12</v>
      </c>
      <c r="G145" s="1" t="s">
        <v>13</v>
      </c>
      <c r="H145" s="1">
        <v>14</v>
      </c>
      <c r="I145" s="1">
        <v>4</v>
      </c>
      <c r="J145" s="1">
        <v>0</v>
      </c>
    </row>
    <row r="146" spans="1:10" x14ac:dyDescent="0.25">
      <c r="A146" s="6">
        <v>10211</v>
      </c>
      <c r="B146" s="6">
        <v>51</v>
      </c>
      <c r="C146" s="6">
        <v>62514</v>
      </c>
      <c r="D146" s="6" t="s">
        <v>19</v>
      </c>
      <c r="E146" s="6" t="s">
        <v>11</v>
      </c>
      <c r="F146" s="6" t="s">
        <v>12</v>
      </c>
      <c r="G146" s="6" t="s">
        <v>13</v>
      </c>
      <c r="H146" s="6">
        <v>21</v>
      </c>
      <c r="I146" s="6">
        <v>3</v>
      </c>
      <c r="J146" s="6">
        <v>0</v>
      </c>
    </row>
    <row r="147" spans="1:10" x14ac:dyDescent="0.25">
      <c r="A147" s="1">
        <v>10212</v>
      </c>
      <c r="B147" s="1">
        <v>73</v>
      </c>
      <c r="C147" s="1">
        <v>85028</v>
      </c>
      <c r="D147" s="1" t="s">
        <v>19</v>
      </c>
      <c r="E147" s="1" t="s">
        <v>37</v>
      </c>
      <c r="F147" s="1" t="s">
        <v>12</v>
      </c>
      <c r="G147" s="1" t="s">
        <v>13</v>
      </c>
      <c r="H147" s="1">
        <v>18</v>
      </c>
      <c r="I147" s="1">
        <v>5</v>
      </c>
      <c r="J147" s="1">
        <v>8</v>
      </c>
    </row>
    <row r="148" spans="1:10" x14ac:dyDescent="0.25">
      <c r="A148" s="6">
        <v>10213</v>
      </c>
      <c r="B148" s="6">
        <v>33</v>
      </c>
      <c r="C148" s="6">
        <v>58207</v>
      </c>
      <c r="D148" s="6" t="s">
        <v>10</v>
      </c>
      <c r="E148" s="6" t="s">
        <v>18</v>
      </c>
      <c r="F148" s="6" t="s">
        <v>12</v>
      </c>
      <c r="G148" s="6" t="s">
        <v>13</v>
      </c>
      <c r="H148" s="6">
        <v>18</v>
      </c>
      <c r="I148" s="6">
        <v>3</v>
      </c>
      <c r="J148" s="6">
        <v>0</v>
      </c>
    </row>
    <row r="149" spans="1:10" x14ac:dyDescent="0.25">
      <c r="A149" s="1">
        <v>10214</v>
      </c>
      <c r="B149" s="1">
        <v>33</v>
      </c>
      <c r="C149" s="1">
        <v>64995</v>
      </c>
      <c r="D149" s="1" t="s">
        <v>19</v>
      </c>
      <c r="E149" s="1" t="s">
        <v>18</v>
      </c>
      <c r="F149" s="1" t="s">
        <v>12</v>
      </c>
      <c r="G149" s="1" t="s">
        <v>33</v>
      </c>
      <c r="H149" s="1">
        <v>12</v>
      </c>
      <c r="I149" s="1">
        <v>3</v>
      </c>
      <c r="J149" s="1">
        <v>0</v>
      </c>
    </row>
    <row r="150" spans="1:10" x14ac:dyDescent="0.25">
      <c r="A150" s="6">
        <v>10216</v>
      </c>
      <c r="B150" s="6">
        <v>45</v>
      </c>
      <c r="C150" s="6">
        <v>57575</v>
      </c>
      <c r="D150" s="6" t="s">
        <v>10</v>
      </c>
      <c r="E150" s="6" t="s">
        <v>11</v>
      </c>
      <c r="F150" s="6" t="s">
        <v>12</v>
      </c>
      <c r="G150" s="6" t="s">
        <v>13</v>
      </c>
      <c r="H150" s="6">
        <v>11</v>
      </c>
      <c r="I150" s="6">
        <v>4</v>
      </c>
      <c r="J150" s="6">
        <v>0</v>
      </c>
    </row>
    <row r="151" spans="1:10" x14ac:dyDescent="0.25">
      <c r="A151" s="1">
        <v>10217</v>
      </c>
      <c r="B151" s="1">
        <v>45</v>
      </c>
      <c r="C151" s="1">
        <v>74226</v>
      </c>
      <c r="D151" s="1" t="s">
        <v>19</v>
      </c>
      <c r="E151" s="1" t="s">
        <v>18</v>
      </c>
      <c r="F151" s="1" t="s">
        <v>12</v>
      </c>
      <c r="G151" s="1" t="s">
        <v>33</v>
      </c>
      <c r="H151" s="1">
        <v>19</v>
      </c>
      <c r="I151" s="1">
        <v>5</v>
      </c>
      <c r="J151" s="1">
        <v>0</v>
      </c>
    </row>
    <row r="152" spans="1:10" x14ac:dyDescent="0.25">
      <c r="A152" s="6">
        <v>10218</v>
      </c>
      <c r="B152" s="6">
        <v>42</v>
      </c>
      <c r="C152" s="6">
        <v>66149</v>
      </c>
      <c r="D152" s="6" t="s">
        <v>19</v>
      </c>
      <c r="E152" s="6" t="s">
        <v>18</v>
      </c>
      <c r="F152" s="6" t="s">
        <v>12</v>
      </c>
      <c r="G152" s="6" t="s">
        <v>46</v>
      </c>
      <c r="H152" s="6">
        <v>11</v>
      </c>
      <c r="I152" s="6">
        <v>5</v>
      </c>
      <c r="J152" s="6">
        <v>0</v>
      </c>
    </row>
    <row r="153" spans="1:10" x14ac:dyDescent="0.25">
      <c r="A153" s="1">
        <v>10219</v>
      </c>
      <c r="B153" s="1">
        <v>39</v>
      </c>
      <c r="C153" s="1">
        <v>45395</v>
      </c>
      <c r="D153" s="1" t="s">
        <v>19</v>
      </c>
      <c r="E153" s="1" t="s">
        <v>11</v>
      </c>
      <c r="F153" s="1" t="s">
        <v>12</v>
      </c>
      <c r="G153" s="1" t="s">
        <v>13</v>
      </c>
      <c r="H153" s="1">
        <v>11</v>
      </c>
      <c r="I153" s="1">
        <v>4</v>
      </c>
      <c r="J153" s="1">
        <v>0</v>
      </c>
    </row>
    <row r="154" spans="1:10" x14ac:dyDescent="0.25">
      <c r="A154" s="6">
        <v>10220</v>
      </c>
      <c r="B154" s="6">
        <v>40</v>
      </c>
      <c r="C154" s="6">
        <v>68678</v>
      </c>
      <c r="D154" s="6" t="s">
        <v>10</v>
      </c>
      <c r="E154" s="6" t="s">
        <v>23</v>
      </c>
      <c r="F154" s="6" t="s">
        <v>12</v>
      </c>
      <c r="G154" s="6" t="s">
        <v>13</v>
      </c>
      <c r="H154" s="6">
        <v>20</v>
      </c>
      <c r="I154" s="6">
        <v>3</v>
      </c>
      <c r="J154" s="6">
        <v>6</v>
      </c>
    </row>
    <row r="155" spans="1:10" x14ac:dyDescent="0.25">
      <c r="A155" s="1">
        <v>10223</v>
      </c>
      <c r="B155" s="1">
        <v>49</v>
      </c>
      <c r="C155" s="1">
        <v>72106</v>
      </c>
      <c r="D155" s="1" t="s">
        <v>10</v>
      </c>
      <c r="E155" s="1" t="s">
        <v>18</v>
      </c>
      <c r="F155" s="1" t="s">
        <v>12</v>
      </c>
      <c r="G155" s="1" t="s">
        <v>13</v>
      </c>
      <c r="H155" s="1">
        <v>14</v>
      </c>
      <c r="I155" s="1">
        <v>4</v>
      </c>
      <c r="J155" s="1">
        <v>0</v>
      </c>
    </row>
    <row r="156" spans="1:10" x14ac:dyDescent="0.25">
      <c r="A156" s="6">
        <v>10225</v>
      </c>
      <c r="B156" s="6">
        <v>64</v>
      </c>
      <c r="C156" s="6">
        <v>59472</v>
      </c>
      <c r="D156" s="6" t="s">
        <v>10</v>
      </c>
      <c r="E156" s="6" t="s">
        <v>11</v>
      </c>
      <c r="F156" s="6" t="s">
        <v>12</v>
      </c>
      <c r="G156" s="6" t="s">
        <v>13</v>
      </c>
      <c r="H156" s="6">
        <v>20</v>
      </c>
      <c r="I156" s="6">
        <v>3</v>
      </c>
      <c r="J156" s="6">
        <v>0</v>
      </c>
    </row>
    <row r="157" spans="1:10" x14ac:dyDescent="0.25">
      <c r="A157" s="1">
        <v>10226</v>
      </c>
      <c r="B157" s="1">
        <v>66</v>
      </c>
      <c r="C157" s="1">
        <v>64000</v>
      </c>
      <c r="D157" s="1" t="s">
        <v>19</v>
      </c>
      <c r="E157" s="1" t="s">
        <v>11</v>
      </c>
      <c r="F157" s="1" t="s">
        <v>12</v>
      </c>
      <c r="G157" s="1" t="s">
        <v>33</v>
      </c>
      <c r="H157" s="1">
        <v>19</v>
      </c>
      <c r="I157" s="1">
        <v>3</v>
      </c>
      <c r="J157" s="1">
        <v>0</v>
      </c>
    </row>
    <row r="158" spans="1:10" x14ac:dyDescent="0.25">
      <c r="A158" s="6">
        <v>10227</v>
      </c>
      <c r="B158" s="6">
        <v>52</v>
      </c>
      <c r="C158" s="6">
        <v>61242</v>
      </c>
      <c r="D158" s="6" t="s">
        <v>19</v>
      </c>
      <c r="E158" s="6" t="s">
        <v>11</v>
      </c>
      <c r="F158" s="6" t="s">
        <v>12</v>
      </c>
      <c r="G158" s="6" t="s">
        <v>16</v>
      </c>
      <c r="H158" s="6">
        <v>14</v>
      </c>
      <c r="I158" s="6">
        <v>3</v>
      </c>
      <c r="J158" s="6">
        <v>0</v>
      </c>
    </row>
    <row r="159" spans="1:10" x14ac:dyDescent="0.25">
      <c r="A159" s="1">
        <v>10228</v>
      </c>
      <c r="B159" s="1">
        <v>35</v>
      </c>
      <c r="C159" s="1">
        <v>74679</v>
      </c>
      <c r="D159" s="1" t="s">
        <v>10</v>
      </c>
      <c r="E159" s="1" t="s">
        <v>23</v>
      </c>
      <c r="F159" s="1" t="s">
        <v>12</v>
      </c>
      <c r="G159" s="1" t="s">
        <v>13</v>
      </c>
      <c r="H159" s="1">
        <v>12</v>
      </c>
      <c r="I159" s="1">
        <v>5</v>
      </c>
      <c r="J159" s="1">
        <v>7</v>
      </c>
    </row>
    <row r="160" spans="1:10" x14ac:dyDescent="0.25">
      <c r="A160" s="6">
        <v>10231</v>
      </c>
      <c r="B160" s="6">
        <v>45</v>
      </c>
      <c r="C160" s="6">
        <v>65310</v>
      </c>
      <c r="D160" s="6" t="s">
        <v>10</v>
      </c>
      <c r="E160" s="6" t="s">
        <v>32</v>
      </c>
      <c r="F160" s="6" t="s">
        <v>12</v>
      </c>
      <c r="G160" s="6" t="s">
        <v>13</v>
      </c>
      <c r="H160" s="6">
        <v>22</v>
      </c>
      <c r="I160" s="6">
        <v>5</v>
      </c>
      <c r="J160" s="6">
        <v>0</v>
      </c>
    </row>
    <row r="161" spans="1:10" x14ac:dyDescent="0.25">
      <c r="A161" s="1">
        <v>10232</v>
      </c>
      <c r="B161" s="1">
        <v>38</v>
      </c>
      <c r="C161" s="1">
        <v>81584</v>
      </c>
      <c r="D161" s="1" t="s">
        <v>19</v>
      </c>
      <c r="E161" s="1" t="s">
        <v>47</v>
      </c>
      <c r="F161" s="1" t="s">
        <v>12</v>
      </c>
      <c r="G161" s="1" t="s">
        <v>13</v>
      </c>
      <c r="H161" s="1">
        <v>18</v>
      </c>
      <c r="I161" s="1">
        <v>5</v>
      </c>
      <c r="J161" s="1">
        <v>7</v>
      </c>
    </row>
    <row r="162" spans="1:10" x14ac:dyDescent="0.25">
      <c r="A162" s="6">
        <v>10233</v>
      </c>
      <c r="B162" s="6">
        <v>39</v>
      </c>
      <c r="C162" s="6">
        <v>57975</v>
      </c>
      <c r="D162" s="6" t="s">
        <v>10</v>
      </c>
      <c r="E162" s="6" t="s">
        <v>18</v>
      </c>
      <c r="F162" s="6" t="s">
        <v>12</v>
      </c>
      <c r="G162" s="6" t="s">
        <v>29</v>
      </c>
      <c r="H162" s="6">
        <v>14</v>
      </c>
      <c r="I162" s="6">
        <v>3</v>
      </c>
      <c r="J162" s="6">
        <v>0</v>
      </c>
    </row>
    <row r="163" spans="1:10" x14ac:dyDescent="0.25">
      <c r="A163" s="1">
        <v>10234</v>
      </c>
      <c r="B163" s="1">
        <v>36</v>
      </c>
      <c r="C163" s="1">
        <v>99020</v>
      </c>
      <c r="D163" s="1" t="s">
        <v>10</v>
      </c>
      <c r="E163" s="1" t="s">
        <v>39</v>
      </c>
      <c r="F163" s="1" t="s">
        <v>12</v>
      </c>
      <c r="G163" s="1" t="s">
        <v>13</v>
      </c>
      <c r="H163" s="1">
        <v>14</v>
      </c>
      <c r="I163" s="1">
        <v>5</v>
      </c>
      <c r="J163" s="1">
        <v>5</v>
      </c>
    </row>
    <row r="164" spans="1:10" x14ac:dyDescent="0.25">
      <c r="A164" s="6">
        <v>10235</v>
      </c>
      <c r="B164" s="6">
        <v>47</v>
      </c>
      <c r="C164" s="6">
        <v>54285</v>
      </c>
      <c r="D164" s="6" t="s">
        <v>10</v>
      </c>
      <c r="E164" s="6" t="s">
        <v>11</v>
      </c>
      <c r="F164" s="6" t="s">
        <v>12</v>
      </c>
      <c r="G164" s="6" t="s">
        <v>16</v>
      </c>
      <c r="H164" s="6">
        <v>11</v>
      </c>
      <c r="I164" s="6">
        <v>3</v>
      </c>
      <c r="J164" s="6">
        <v>0</v>
      </c>
    </row>
    <row r="165" spans="1:10" x14ac:dyDescent="0.25">
      <c r="A165" s="1">
        <v>10236</v>
      </c>
      <c r="B165" s="1">
        <v>59</v>
      </c>
      <c r="C165" s="1">
        <v>45069</v>
      </c>
      <c r="D165" s="1" t="s">
        <v>19</v>
      </c>
      <c r="E165" s="1" t="s">
        <v>11</v>
      </c>
      <c r="F165" s="1" t="s">
        <v>12</v>
      </c>
      <c r="G165" s="1" t="s">
        <v>13</v>
      </c>
      <c r="H165" s="1">
        <v>17</v>
      </c>
      <c r="I165" s="1">
        <v>5</v>
      </c>
      <c r="J165" s="1">
        <v>0</v>
      </c>
    </row>
    <row r="166" spans="1:10" x14ac:dyDescent="0.25">
      <c r="A166" s="6">
        <v>10237</v>
      </c>
      <c r="B166" s="6">
        <v>39</v>
      </c>
      <c r="C166" s="6">
        <v>66825</v>
      </c>
      <c r="D166" s="6" t="s">
        <v>19</v>
      </c>
      <c r="E166" s="6" t="s">
        <v>18</v>
      </c>
      <c r="F166" s="6" t="s">
        <v>12</v>
      </c>
      <c r="G166" s="6" t="s">
        <v>29</v>
      </c>
      <c r="H166" s="6">
        <v>18</v>
      </c>
      <c r="I166" s="6">
        <v>3</v>
      </c>
      <c r="J166" s="6">
        <v>0</v>
      </c>
    </row>
    <row r="167" spans="1:10" x14ac:dyDescent="0.25">
      <c r="A167" s="1">
        <v>10238</v>
      </c>
      <c r="B167" s="1">
        <v>37</v>
      </c>
      <c r="C167" s="1">
        <v>63000</v>
      </c>
      <c r="D167" s="1" t="s">
        <v>19</v>
      </c>
      <c r="E167" s="1" t="s">
        <v>31</v>
      </c>
      <c r="F167" s="1" t="s">
        <v>12</v>
      </c>
      <c r="G167" s="1" t="s">
        <v>13</v>
      </c>
      <c r="H167" s="1">
        <v>17</v>
      </c>
      <c r="I167" s="1">
        <v>2</v>
      </c>
      <c r="J167" s="1">
        <v>6</v>
      </c>
    </row>
    <row r="168" spans="1:10" x14ac:dyDescent="0.25">
      <c r="A168" s="6">
        <v>10239</v>
      </c>
      <c r="B168" s="6">
        <v>44</v>
      </c>
      <c r="C168" s="6">
        <v>95920</v>
      </c>
      <c r="D168" s="6" t="s">
        <v>19</v>
      </c>
      <c r="E168" s="6" t="s">
        <v>39</v>
      </c>
      <c r="F168" s="6" t="s">
        <v>12</v>
      </c>
      <c r="G168" s="6" t="s">
        <v>33</v>
      </c>
      <c r="H168" s="6">
        <v>18</v>
      </c>
      <c r="I168" s="6">
        <v>4</v>
      </c>
      <c r="J168" s="6">
        <v>6</v>
      </c>
    </row>
    <row r="169" spans="1:10" x14ac:dyDescent="0.25">
      <c r="A169" s="1">
        <v>10241</v>
      </c>
      <c r="B169" s="1">
        <v>35</v>
      </c>
      <c r="C169" s="1">
        <v>60120</v>
      </c>
      <c r="D169" s="1" t="s">
        <v>19</v>
      </c>
      <c r="E169" s="1" t="s">
        <v>32</v>
      </c>
      <c r="F169" s="1" t="s">
        <v>12</v>
      </c>
      <c r="G169" s="1" t="s">
        <v>13</v>
      </c>
      <c r="H169" s="1">
        <v>19</v>
      </c>
      <c r="I169" s="1">
        <v>4</v>
      </c>
      <c r="J169" s="1">
        <v>0</v>
      </c>
    </row>
    <row r="170" spans="1:10" x14ac:dyDescent="0.25">
      <c r="A170" s="6">
        <v>10243</v>
      </c>
      <c r="B170" s="6">
        <v>33</v>
      </c>
      <c r="C170" s="6">
        <v>53018</v>
      </c>
      <c r="D170" s="6" t="s">
        <v>19</v>
      </c>
      <c r="E170" s="6" t="s">
        <v>11</v>
      </c>
      <c r="F170" s="6" t="s">
        <v>12</v>
      </c>
      <c r="G170" s="6" t="s">
        <v>13</v>
      </c>
      <c r="H170" s="6">
        <v>18</v>
      </c>
      <c r="I170" s="6">
        <v>5</v>
      </c>
      <c r="J170" s="6">
        <v>0</v>
      </c>
    </row>
    <row r="171" spans="1:10" x14ac:dyDescent="0.25">
      <c r="A171" s="1">
        <v>10247</v>
      </c>
      <c r="B171" s="1">
        <v>51</v>
      </c>
      <c r="C171" s="1">
        <v>48888</v>
      </c>
      <c r="D171" s="1" t="s">
        <v>10</v>
      </c>
      <c r="E171" s="1" t="s">
        <v>11</v>
      </c>
      <c r="F171" s="1" t="s">
        <v>12</v>
      </c>
      <c r="G171" s="1" t="s">
        <v>13</v>
      </c>
      <c r="H171" s="1">
        <v>14</v>
      </c>
      <c r="I171" s="1">
        <v>5</v>
      </c>
      <c r="J171" s="1">
        <v>0</v>
      </c>
    </row>
    <row r="172" spans="1:10" x14ac:dyDescent="0.25">
      <c r="A172" s="6">
        <v>10248</v>
      </c>
      <c r="B172" s="6">
        <v>38</v>
      </c>
      <c r="C172" s="6">
        <v>55425</v>
      </c>
      <c r="D172" s="6" t="s">
        <v>19</v>
      </c>
      <c r="E172" s="6" t="s">
        <v>11</v>
      </c>
      <c r="F172" s="6" t="s">
        <v>12</v>
      </c>
      <c r="G172" s="6" t="s">
        <v>16</v>
      </c>
      <c r="H172" s="6">
        <v>22</v>
      </c>
      <c r="I172" s="6">
        <v>4</v>
      </c>
      <c r="J172" s="6">
        <v>0</v>
      </c>
    </row>
    <row r="173" spans="1:10" x14ac:dyDescent="0.25">
      <c r="A173" s="1">
        <v>10250</v>
      </c>
      <c r="B173" s="1">
        <v>37</v>
      </c>
      <c r="C173" s="1">
        <v>50178</v>
      </c>
      <c r="D173" s="1" t="s">
        <v>10</v>
      </c>
      <c r="E173" s="1" t="s">
        <v>23</v>
      </c>
      <c r="F173" s="1" t="s">
        <v>12</v>
      </c>
      <c r="G173" s="1" t="s">
        <v>13</v>
      </c>
      <c r="H173" s="2">
        <v>15.260586319218241</v>
      </c>
      <c r="I173" s="1">
        <v>5</v>
      </c>
      <c r="J173" s="1">
        <v>6</v>
      </c>
    </row>
    <row r="174" spans="1:10" x14ac:dyDescent="0.25">
      <c r="A174" s="6">
        <v>10251</v>
      </c>
      <c r="B174" s="6">
        <v>43</v>
      </c>
      <c r="C174" s="6">
        <v>64738</v>
      </c>
      <c r="D174" s="6" t="s">
        <v>10</v>
      </c>
      <c r="E174" s="6" t="s">
        <v>11</v>
      </c>
      <c r="F174" s="6" t="s">
        <v>12</v>
      </c>
      <c r="G174" s="6" t="s">
        <v>13</v>
      </c>
      <c r="H174" s="6">
        <v>15</v>
      </c>
      <c r="I174" s="6">
        <v>3</v>
      </c>
      <c r="J174" s="6">
        <v>0</v>
      </c>
    </row>
    <row r="175" spans="1:10" x14ac:dyDescent="0.25">
      <c r="A175" s="1">
        <v>10253</v>
      </c>
      <c r="B175" s="1">
        <v>35</v>
      </c>
      <c r="C175" s="1">
        <v>55875</v>
      </c>
      <c r="D175" s="1" t="s">
        <v>10</v>
      </c>
      <c r="E175" s="1" t="s">
        <v>32</v>
      </c>
      <c r="F175" s="1" t="s">
        <v>12</v>
      </c>
      <c r="G175" s="1" t="s">
        <v>13</v>
      </c>
      <c r="H175" s="1">
        <v>22</v>
      </c>
      <c r="I175" s="1">
        <v>4</v>
      </c>
      <c r="J175" s="1">
        <v>0</v>
      </c>
    </row>
    <row r="176" spans="1:10" x14ac:dyDescent="0.25">
      <c r="A176" s="6">
        <v>10254</v>
      </c>
      <c r="B176" s="6">
        <v>41</v>
      </c>
      <c r="C176" s="6">
        <v>63430</v>
      </c>
      <c r="D176" s="6" t="s">
        <v>19</v>
      </c>
      <c r="E176" s="6" t="s">
        <v>11</v>
      </c>
      <c r="F176" s="6" t="s">
        <v>12</v>
      </c>
      <c r="G176" s="6" t="s">
        <v>13</v>
      </c>
      <c r="H176" s="6">
        <v>14</v>
      </c>
      <c r="I176" s="6">
        <v>4</v>
      </c>
      <c r="J176" s="6">
        <v>0</v>
      </c>
    </row>
    <row r="177" spans="1:10" x14ac:dyDescent="0.25">
      <c r="A177" s="1">
        <v>10255</v>
      </c>
      <c r="B177" s="1">
        <v>35</v>
      </c>
      <c r="C177" s="1">
        <v>61555</v>
      </c>
      <c r="D177" s="1" t="s">
        <v>19</v>
      </c>
      <c r="E177" s="1" t="s">
        <v>32</v>
      </c>
      <c r="F177" s="1" t="s">
        <v>12</v>
      </c>
      <c r="G177" s="1" t="s">
        <v>13</v>
      </c>
      <c r="H177" s="1">
        <v>13</v>
      </c>
      <c r="I177" s="1">
        <v>5</v>
      </c>
      <c r="J177" s="1">
        <v>0</v>
      </c>
    </row>
    <row r="178" spans="1:10" x14ac:dyDescent="0.25">
      <c r="A178" s="6">
        <v>10256</v>
      </c>
      <c r="B178" s="6">
        <v>51</v>
      </c>
      <c r="C178" s="6">
        <v>49256</v>
      </c>
      <c r="D178" s="6" t="s">
        <v>19</v>
      </c>
      <c r="E178" s="6" t="s">
        <v>11</v>
      </c>
      <c r="F178" s="6" t="s">
        <v>12</v>
      </c>
      <c r="G178" s="6" t="s">
        <v>13</v>
      </c>
      <c r="H178" s="6">
        <v>11</v>
      </c>
      <c r="I178" s="6">
        <v>5</v>
      </c>
      <c r="J178" s="6">
        <v>0</v>
      </c>
    </row>
    <row r="179" spans="1:10" x14ac:dyDescent="0.25">
      <c r="A179" s="1">
        <v>10257</v>
      </c>
      <c r="B179" s="1">
        <v>42</v>
      </c>
      <c r="C179" s="1">
        <v>53171</v>
      </c>
      <c r="D179" s="1" t="s">
        <v>19</v>
      </c>
      <c r="E179" s="1" t="s">
        <v>11</v>
      </c>
      <c r="F179" s="1" t="s">
        <v>12</v>
      </c>
      <c r="G179" s="1" t="s">
        <v>13</v>
      </c>
      <c r="H179" s="1">
        <v>12</v>
      </c>
      <c r="I179" s="1">
        <v>4</v>
      </c>
      <c r="J179" s="1">
        <v>0</v>
      </c>
    </row>
    <row r="180" spans="1:10" x14ac:dyDescent="0.25">
      <c r="A180" s="6">
        <v>10258</v>
      </c>
      <c r="B180" s="6">
        <v>62</v>
      </c>
      <c r="C180" s="6">
        <v>67251</v>
      </c>
      <c r="D180" s="6" t="s">
        <v>10</v>
      </c>
      <c r="E180" s="6" t="s">
        <v>32</v>
      </c>
      <c r="F180" s="6" t="s">
        <v>12</v>
      </c>
      <c r="G180" s="6" t="s">
        <v>13</v>
      </c>
      <c r="H180" s="6">
        <v>11</v>
      </c>
      <c r="I180" s="6">
        <v>3</v>
      </c>
      <c r="J180" s="6">
        <v>0</v>
      </c>
    </row>
    <row r="181" spans="1:10" x14ac:dyDescent="0.25">
      <c r="A181" s="1">
        <v>10261</v>
      </c>
      <c r="B181" s="1">
        <v>48</v>
      </c>
      <c r="C181" s="1">
        <v>63108</v>
      </c>
      <c r="D181" s="1" t="s">
        <v>10</v>
      </c>
      <c r="E181" s="1" t="s">
        <v>11</v>
      </c>
      <c r="F181" s="1" t="s">
        <v>12</v>
      </c>
      <c r="G181" s="1" t="s">
        <v>13</v>
      </c>
      <c r="H181" s="1">
        <v>11</v>
      </c>
      <c r="I181" s="1">
        <v>5</v>
      </c>
      <c r="J181" s="1">
        <v>0</v>
      </c>
    </row>
    <row r="182" spans="1:10" x14ac:dyDescent="0.25">
      <c r="A182" s="6">
        <v>10263</v>
      </c>
      <c r="B182" s="6">
        <v>46</v>
      </c>
      <c r="C182" s="6">
        <v>71776</v>
      </c>
      <c r="D182" s="6" t="s">
        <v>19</v>
      </c>
      <c r="E182" s="6" t="s">
        <v>18</v>
      </c>
      <c r="F182" s="6" t="s">
        <v>12</v>
      </c>
      <c r="G182" s="6" t="s">
        <v>21</v>
      </c>
      <c r="H182" s="6">
        <v>12</v>
      </c>
      <c r="I182" s="6">
        <v>5</v>
      </c>
      <c r="J182" s="6">
        <v>0</v>
      </c>
    </row>
    <row r="183" spans="1:10" x14ac:dyDescent="0.25">
      <c r="A183" s="1">
        <v>10265</v>
      </c>
      <c r="B183" s="1">
        <v>42</v>
      </c>
      <c r="C183" s="1">
        <v>58709</v>
      </c>
      <c r="D183" s="1" t="s">
        <v>10</v>
      </c>
      <c r="E183" s="1" t="s">
        <v>11</v>
      </c>
      <c r="F183" s="1" t="s">
        <v>12</v>
      </c>
      <c r="G183" s="1" t="s">
        <v>13</v>
      </c>
      <c r="H183" s="1">
        <v>13</v>
      </c>
      <c r="I183" s="1">
        <v>4</v>
      </c>
      <c r="J183" s="1">
        <v>0</v>
      </c>
    </row>
    <row r="184" spans="1:10" x14ac:dyDescent="0.25">
      <c r="A184" s="6">
        <v>10266</v>
      </c>
      <c r="B184" s="6">
        <v>40</v>
      </c>
      <c r="C184" s="6">
        <v>61355</v>
      </c>
      <c r="D184" s="6" t="s">
        <v>10</v>
      </c>
      <c r="E184" s="6" t="s">
        <v>11</v>
      </c>
      <c r="F184" s="6" t="s">
        <v>12</v>
      </c>
      <c r="G184" s="6" t="s">
        <v>13</v>
      </c>
      <c r="H184" s="6">
        <v>14</v>
      </c>
      <c r="I184" s="6">
        <v>1</v>
      </c>
      <c r="J184" s="6">
        <v>0</v>
      </c>
    </row>
    <row r="185" spans="1:10" x14ac:dyDescent="0.25">
      <c r="A185" s="1">
        <v>10271</v>
      </c>
      <c r="B185" s="1">
        <v>47</v>
      </c>
      <c r="C185" s="1">
        <v>45046</v>
      </c>
      <c r="D185" s="1" t="s">
        <v>19</v>
      </c>
      <c r="E185" s="1" t="s">
        <v>11</v>
      </c>
      <c r="F185" s="1" t="s">
        <v>12</v>
      </c>
      <c r="G185" s="1" t="s">
        <v>13</v>
      </c>
      <c r="H185" s="1">
        <v>19</v>
      </c>
      <c r="I185" s="1">
        <v>5</v>
      </c>
      <c r="J185" s="1">
        <v>0</v>
      </c>
    </row>
    <row r="186" spans="1:10" x14ac:dyDescent="0.25">
      <c r="A186" s="6">
        <v>10272</v>
      </c>
      <c r="B186" s="6">
        <v>59</v>
      </c>
      <c r="C186" s="6">
        <v>180000</v>
      </c>
      <c r="D186" s="6" t="s">
        <v>19</v>
      </c>
      <c r="E186" s="6" t="s">
        <v>43</v>
      </c>
      <c r="F186" s="6" t="s">
        <v>12</v>
      </c>
      <c r="G186" s="6" t="s">
        <v>33</v>
      </c>
      <c r="H186" s="6">
        <v>17</v>
      </c>
      <c r="I186" s="6">
        <v>4</v>
      </c>
      <c r="J186" s="6">
        <v>0</v>
      </c>
    </row>
    <row r="187" spans="1:10" x14ac:dyDescent="0.25">
      <c r="A187" s="1">
        <v>10273</v>
      </c>
      <c r="B187" s="1">
        <v>57</v>
      </c>
      <c r="C187" s="1">
        <v>65707</v>
      </c>
      <c r="D187" s="1" t="s">
        <v>19</v>
      </c>
      <c r="E187" s="1" t="s">
        <v>23</v>
      </c>
      <c r="F187" s="1" t="s">
        <v>12</v>
      </c>
      <c r="G187" s="1" t="s">
        <v>13</v>
      </c>
      <c r="H187" s="1">
        <v>18</v>
      </c>
      <c r="I187" s="1">
        <v>4</v>
      </c>
      <c r="J187" s="1">
        <v>5</v>
      </c>
    </row>
    <row r="188" spans="1:10" x14ac:dyDescent="0.25">
      <c r="A188" s="6">
        <v>10276</v>
      </c>
      <c r="B188" s="6">
        <v>42</v>
      </c>
      <c r="C188" s="6">
        <v>51259</v>
      </c>
      <c r="D188" s="6" t="s">
        <v>10</v>
      </c>
      <c r="E188" s="6" t="s">
        <v>11</v>
      </c>
      <c r="F188" s="6" t="s">
        <v>12</v>
      </c>
      <c r="G188" s="6" t="s">
        <v>13</v>
      </c>
      <c r="H188" s="6">
        <v>18</v>
      </c>
      <c r="I188" s="6">
        <v>4</v>
      </c>
      <c r="J188" s="6">
        <v>0</v>
      </c>
    </row>
    <row r="189" spans="1:10" x14ac:dyDescent="0.25">
      <c r="A189" s="1">
        <v>10277</v>
      </c>
      <c r="B189" s="1">
        <v>46</v>
      </c>
      <c r="C189" s="1">
        <v>53250</v>
      </c>
      <c r="D189" s="1" t="s">
        <v>10</v>
      </c>
      <c r="E189" s="1" t="s">
        <v>11</v>
      </c>
      <c r="F189" s="1" t="s">
        <v>12</v>
      </c>
      <c r="G189" s="1" t="s">
        <v>238</v>
      </c>
      <c r="H189" s="1">
        <v>11</v>
      </c>
      <c r="I189" s="1">
        <v>4</v>
      </c>
      <c r="J189" s="1">
        <v>0</v>
      </c>
    </row>
    <row r="190" spans="1:10" x14ac:dyDescent="0.25">
      <c r="A190" s="6">
        <v>10278</v>
      </c>
      <c r="B190" s="6">
        <v>43</v>
      </c>
      <c r="C190" s="6">
        <v>47961</v>
      </c>
      <c r="D190" s="6" t="s">
        <v>19</v>
      </c>
      <c r="E190" s="6" t="s">
        <v>11</v>
      </c>
      <c r="F190" s="6" t="s">
        <v>12</v>
      </c>
      <c r="G190" s="6" t="s">
        <v>238</v>
      </c>
      <c r="H190" s="6">
        <v>14</v>
      </c>
      <c r="I190" s="6">
        <v>4</v>
      </c>
      <c r="J190" s="6">
        <v>0</v>
      </c>
    </row>
    <row r="191" spans="1:10" x14ac:dyDescent="0.25">
      <c r="A191" s="1">
        <v>10279</v>
      </c>
      <c r="B191" s="1">
        <v>51</v>
      </c>
      <c r="C191" s="1">
        <v>61349</v>
      </c>
      <c r="D191" s="1" t="s">
        <v>19</v>
      </c>
      <c r="E191" s="1" t="s">
        <v>11</v>
      </c>
      <c r="F191" s="1" t="s">
        <v>12</v>
      </c>
      <c r="G191" s="1" t="s">
        <v>13</v>
      </c>
      <c r="H191" s="1">
        <v>13</v>
      </c>
      <c r="I191" s="1">
        <v>3</v>
      </c>
      <c r="J191" s="1">
        <v>0</v>
      </c>
    </row>
    <row r="192" spans="1:10" x14ac:dyDescent="0.25">
      <c r="A192" s="6">
        <v>10281</v>
      </c>
      <c r="B192" s="6">
        <v>45</v>
      </c>
      <c r="C192" s="6">
        <v>53060</v>
      </c>
      <c r="D192" s="6" t="s">
        <v>10</v>
      </c>
      <c r="E192" s="6" t="s">
        <v>11</v>
      </c>
      <c r="F192" s="6" t="s">
        <v>12</v>
      </c>
      <c r="G192" s="6" t="s">
        <v>16</v>
      </c>
      <c r="H192" s="6">
        <v>14</v>
      </c>
      <c r="I192" s="6">
        <v>3</v>
      </c>
      <c r="J192" s="6">
        <v>0</v>
      </c>
    </row>
    <row r="193" spans="1:10" x14ac:dyDescent="0.25">
      <c r="A193" s="1">
        <v>10282</v>
      </c>
      <c r="B193" s="1">
        <v>49</v>
      </c>
      <c r="C193" s="1">
        <v>68051</v>
      </c>
      <c r="D193" s="1" t="s">
        <v>10</v>
      </c>
      <c r="E193" s="1" t="s">
        <v>30</v>
      </c>
      <c r="F193" s="1" t="s">
        <v>12</v>
      </c>
      <c r="G193" s="1" t="s">
        <v>13</v>
      </c>
      <c r="H193" s="1">
        <v>17</v>
      </c>
      <c r="I193" s="1">
        <v>2</v>
      </c>
      <c r="J193" s="1">
        <v>0</v>
      </c>
    </row>
    <row r="194" spans="1:10" x14ac:dyDescent="0.25">
      <c r="A194" s="6">
        <v>10284</v>
      </c>
      <c r="B194" s="6">
        <v>47</v>
      </c>
      <c r="C194" s="6">
        <v>61584</v>
      </c>
      <c r="D194" s="6" t="s">
        <v>19</v>
      </c>
      <c r="E194" s="6" t="s">
        <v>11</v>
      </c>
      <c r="F194" s="6" t="s">
        <v>12</v>
      </c>
      <c r="G194" s="6" t="s">
        <v>13</v>
      </c>
      <c r="H194" s="6">
        <v>21</v>
      </c>
      <c r="I194" s="6">
        <v>4</v>
      </c>
      <c r="J194" s="6">
        <v>0</v>
      </c>
    </row>
    <row r="195" spans="1:10" x14ac:dyDescent="0.25">
      <c r="A195" s="1">
        <v>10287</v>
      </c>
      <c r="B195" s="1">
        <v>42</v>
      </c>
      <c r="C195" s="1">
        <v>63025</v>
      </c>
      <c r="D195" s="1" t="s">
        <v>19</v>
      </c>
      <c r="E195" s="1" t="s">
        <v>11</v>
      </c>
      <c r="F195" s="1" t="s">
        <v>12</v>
      </c>
      <c r="G195" s="1" t="s">
        <v>16</v>
      </c>
      <c r="H195" s="1">
        <v>14</v>
      </c>
      <c r="I195" s="1">
        <v>5</v>
      </c>
      <c r="J195" s="1">
        <v>0</v>
      </c>
    </row>
    <row r="196" spans="1:10" x14ac:dyDescent="0.25">
      <c r="A196" s="6">
        <v>10288</v>
      </c>
      <c r="B196" s="6">
        <v>39</v>
      </c>
      <c r="C196" s="6">
        <v>157000</v>
      </c>
      <c r="D196" s="6" t="s">
        <v>10</v>
      </c>
      <c r="E196" s="6" t="s">
        <v>49</v>
      </c>
      <c r="F196" s="6" t="s">
        <v>12</v>
      </c>
      <c r="G196" s="6" t="s">
        <v>13</v>
      </c>
      <c r="H196" s="6">
        <v>19</v>
      </c>
      <c r="I196" s="6">
        <v>3</v>
      </c>
      <c r="J196" s="6">
        <v>6</v>
      </c>
    </row>
    <row r="197" spans="1:10" x14ac:dyDescent="0.25">
      <c r="A197" s="1">
        <v>10291</v>
      </c>
      <c r="B197" s="1">
        <v>41</v>
      </c>
      <c r="C197" s="1">
        <v>72992</v>
      </c>
      <c r="D197" s="1" t="s">
        <v>10</v>
      </c>
      <c r="E197" s="1" t="s">
        <v>38</v>
      </c>
      <c r="F197" s="1" t="s">
        <v>12</v>
      </c>
      <c r="G197" s="1" t="s">
        <v>13</v>
      </c>
      <c r="H197" s="1">
        <v>14</v>
      </c>
      <c r="I197" s="1">
        <v>4</v>
      </c>
      <c r="J197" s="1">
        <v>0</v>
      </c>
    </row>
    <row r="198" spans="1:10" x14ac:dyDescent="0.25">
      <c r="A198" s="6">
        <v>10294</v>
      </c>
      <c r="B198" s="6">
        <v>35</v>
      </c>
      <c r="C198" s="6">
        <v>66441</v>
      </c>
      <c r="D198" s="6" t="s">
        <v>19</v>
      </c>
      <c r="E198" s="6" t="s">
        <v>18</v>
      </c>
      <c r="F198" s="6" t="s">
        <v>12</v>
      </c>
      <c r="G198" s="6" t="s">
        <v>13</v>
      </c>
      <c r="H198" s="6">
        <v>14</v>
      </c>
      <c r="I198" s="6">
        <v>3</v>
      </c>
      <c r="J198" s="6">
        <v>0</v>
      </c>
    </row>
    <row r="199" spans="1:10" x14ac:dyDescent="0.25">
      <c r="A199" s="1">
        <v>10295</v>
      </c>
      <c r="B199" s="1">
        <v>57</v>
      </c>
      <c r="C199" s="1">
        <v>47750</v>
      </c>
      <c r="D199" s="1" t="s">
        <v>19</v>
      </c>
      <c r="E199" s="1" t="s">
        <v>11</v>
      </c>
      <c r="F199" s="1" t="s">
        <v>12</v>
      </c>
      <c r="G199" s="1" t="s">
        <v>16</v>
      </c>
      <c r="H199" s="1">
        <v>11</v>
      </c>
      <c r="I199" s="1">
        <v>4</v>
      </c>
      <c r="J199" s="1">
        <v>0</v>
      </c>
    </row>
    <row r="200" spans="1:10" x14ac:dyDescent="0.25">
      <c r="A200" s="6">
        <v>10299</v>
      </c>
      <c r="B200" s="6">
        <v>36</v>
      </c>
      <c r="C200" s="6">
        <v>56847</v>
      </c>
      <c r="D200" s="6" t="s">
        <v>19</v>
      </c>
      <c r="E200" s="6" t="s">
        <v>18</v>
      </c>
      <c r="F200" s="6" t="s">
        <v>12</v>
      </c>
      <c r="G200" s="6" t="s">
        <v>13</v>
      </c>
      <c r="H200" s="6">
        <v>17</v>
      </c>
      <c r="I200" s="6">
        <v>5</v>
      </c>
      <c r="J200" s="6">
        <v>0</v>
      </c>
    </row>
    <row r="201" spans="1:10" x14ac:dyDescent="0.25">
      <c r="A201" s="1">
        <v>10302</v>
      </c>
      <c r="B201" s="1">
        <v>57</v>
      </c>
      <c r="C201" s="1">
        <v>64021</v>
      </c>
      <c r="D201" s="1" t="s">
        <v>19</v>
      </c>
      <c r="E201" s="1" t="s">
        <v>11</v>
      </c>
      <c r="F201" s="1" t="s">
        <v>12</v>
      </c>
      <c r="G201" s="1" t="s">
        <v>13</v>
      </c>
      <c r="H201" s="1">
        <v>13</v>
      </c>
      <c r="I201" s="1">
        <v>2</v>
      </c>
      <c r="J201" s="1">
        <v>1</v>
      </c>
    </row>
    <row r="202" spans="1:10" x14ac:dyDescent="0.25">
      <c r="A202" s="6">
        <v>10304</v>
      </c>
      <c r="B202" s="6">
        <v>38</v>
      </c>
      <c r="C202" s="6">
        <v>59231</v>
      </c>
      <c r="D202" s="6" t="s">
        <v>19</v>
      </c>
      <c r="E202" s="6" t="s">
        <v>32</v>
      </c>
      <c r="F202" s="6" t="s">
        <v>12</v>
      </c>
      <c r="G202" s="6" t="s">
        <v>13</v>
      </c>
      <c r="H202" s="6">
        <v>16</v>
      </c>
      <c r="I202" s="6">
        <v>1</v>
      </c>
      <c r="J202" s="6">
        <v>0</v>
      </c>
    </row>
    <row r="203" spans="1:10" x14ac:dyDescent="0.25">
      <c r="A203" s="1">
        <v>10306</v>
      </c>
      <c r="B203" s="1">
        <v>50</v>
      </c>
      <c r="C203" s="1">
        <v>61568</v>
      </c>
      <c r="D203" s="1" t="s">
        <v>10</v>
      </c>
      <c r="E203" s="1" t="s">
        <v>32</v>
      </c>
      <c r="F203" s="1" t="s">
        <v>12</v>
      </c>
      <c r="G203" s="1" t="s">
        <v>13</v>
      </c>
      <c r="H203" s="1">
        <v>21</v>
      </c>
      <c r="I203" s="1">
        <v>3</v>
      </c>
      <c r="J203" s="1">
        <v>0</v>
      </c>
    </row>
    <row r="204" spans="1:10" x14ac:dyDescent="0.25">
      <c r="A204" s="6">
        <v>10307</v>
      </c>
      <c r="B204" s="6">
        <v>51</v>
      </c>
      <c r="C204" s="6">
        <v>58273</v>
      </c>
      <c r="D204" s="6" t="s">
        <v>10</v>
      </c>
      <c r="E204" s="6" t="s">
        <v>32</v>
      </c>
      <c r="F204" s="6" t="s">
        <v>12</v>
      </c>
      <c r="G204" s="6" t="s">
        <v>33</v>
      </c>
      <c r="H204" s="6">
        <v>13</v>
      </c>
      <c r="I204" s="6">
        <v>2</v>
      </c>
      <c r="J204" s="6">
        <v>0</v>
      </c>
    </row>
    <row r="205" spans="1:10" x14ac:dyDescent="0.25">
      <c r="A205" s="1">
        <v>10308</v>
      </c>
      <c r="B205" s="1">
        <v>35</v>
      </c>
      <c r="C205" s="1">
        <v>64057</v>
      </c>
      <c r="D205" s="1" t="s">
        <v>10</v>
      </c>
      <c r="E205" s="1" t="s">
        <v>11</v>
      </c>
      <c r="F205" s="1" t="s">
        <v>12</v>
      </c>
      <c r="G205" s="1" t="s">
        <v>13</v>
      </c>
      <c r="H205" s="1">
        <v>14</v>
      </c>
      <c r="I205" s="1">
        <v>5</v>
      </c>
      <c r="J205" s="1">
        <v>0</v>
      </c>
    </row>
    <row r="206" spans="1:10" x14ac:dyDescent="0.25">
      <c r="A206" s="6">
        <v>10309</v>
      </c>
      <c r="B206" s="6">
        <v>38</v>
      </c>
      <c r="C206" s="6">
        <v>53366</v>
      </c>
      <c r="D206" s="6" t="s">
        <v>10</v>
      </c>
      <c r="E206" s="6" t="s">
        <v>41</v>
      </c>
      <c r="F206" s="6" t="s">
        <v>12</v>
      </c>
      <c r="G206" s="6" t="s">
        <v>13</v>
      </c>
      <c r="H206" s="6">
        <v>13</v>
      </c>
      <c r="I206" s="6">
        <v>3</v>
      </c>
      <c r="J206" s="6">
        <v>6</v>
      </c>
    </row>
    <row r="207" spans="1:10" x14ac:dyDescent="0.25">
      <c r="A207" s="1">
        <v>10310</v>
      </c>
      <c r="B207" s="1">
        <v>58</v>
      </c>
      <c r="C207" s="1">
        <v>53189</v>
      </c>
      <c r="D207" s="1" t="s">
        <v>10</v>
      </c>
      <c r="E207" s="1" t="s">
        <v>11</v>
      </c>
      <c r="F207" s="1" t="s">
        <v>12</v>
      </c>
      <c r="G207" s="1" t="s">
        <v>13</v>
      </c>
      <c r="H207" s="1">
        <v>13</v>
      </c>
      <c r="I207" s="1">
        <v>2</v>
      </c>
      <c r="J207" s="1">
        <v>0</v>
      </c>
    </row>
    <row r="208" spans="1:10" x14ac:dyDescent="0.25">
      <c r="A208" s="6">
        <v>10311</v>
      </c>
      <c r="B208" s="6">
        <v>37</v>
      </c>
      <c r="C208" s="6">
        <v>56991</v>
      </c>
      <c r="D208" s="6" t="s">
        <v>10</v>
      </c>
      <c r="E208" s="6" t="s">
        <v>11</v>
      </c>
      <c r="F208" s="6" t="s">
        <v>12</v>
      </c>
      <c r="G208" s="6" t="s">
        <v>13</v>
      </c>
      <c r="H208" s="6">
        <v>14</v>
      </c>
      <c r="I208" s="6">
        <v>4</v>
      </c>
      <c r="J208" s="6">
        <v>3</v>
      </c>
    </row>
    <row r="209" spans="1:10" x14ac:dyDescent="0.25">
      <c r="A209" s="1">
        <v>10022</v>
      </c>
      <c r="B209" s="1">
        <v>39</v>
      </c>
      <c r="C209" s="1">
        <v>49773</v>
      </c>
      <c r="D209" s="1" t="s">
        <v>19</v>
      </c>
      <c r="E209" s="1" t="s">
        <v>11</v>
      </c>
      <c r="F209" s="1" t="s">
        <v>25</v>
      </c>
      <c r="G209" s="1" t="s">
        <v>33</v>
      </c>
      <c r="H209" s="1">
        <v>15</v>
      </c>
      <c r="I209" s="1">
        <v>5</v>
      </c>
      <c r="J209" s="1">
        <v>0</v>
      </c>
    </row>
    <row r="210" spans="1:10" x14ac:dyDescent="0.25">
      <c r="A210" s="6">
        <v>10061</v>
      </c>
      <c r="B210" s="6">
        <v>43</v>
      </c>
      <c r="C210" s="6">
        <v>57834</v>
      </c>
      <c r="D210" s="6" t="s">
        <v>10</v>
      </c>
      <c r="E210" s="6" t="s">
        <v>11</v>
      </c>
      <c r="F210" s="6" t="s">
        <v>25</v>
      </c>
      <c r="G210" s="6" t="s">
        <v>13</v>
      </c>
      <c r="H210" s="6">
        <v>25</v>
      </c>
      <c r="I210" s="6">
        <v>4</v>
      </c>
      <c r="J210" s="6">
        <v>0</v>
      </c>
    </row>
    <row r="211" spans="1:10" x14ac:dyDescent="0.25">
      <c r="A211" s="1">
        <v>10092</v>
      </c>
      <c r="B211" s="1">
        <v>53</v>
      </c>
      <c r="C211" s="1">
        <v>82758</v>
      </c>
      <c r="D211" s="1" t="s">
        <v>10</v>
      </c>
      <c r="E211" s="1" t="s">
        <v>30</v>
      </c>
      <c r="F211" s="1" t="s">
        <v>25</v>
      </c>
      <c r="G211" s="1" t="s">
        <v>13</v>
      </c>
      <c r="H211" s="1">
        <v>13</v>
      </c>
      <c r="I211" s="1">
        <v>4</v>
      </c>
      <c r="J211" s="1">
        <v>0</v>
      </c>
    </row>
    <row r="212" spans="1:10" x14ac:dyDescent="0.25">
      <c r="A212" s="6">
        <v>10118</v>
      </c>
      <c r="B212" s="6">
        <v>39</v>
      </c>
      <c r="C212" s="6">
        <v>113999</v>
      </c>
      <c r="D212" s="6" t="s">
        <v>10</v>
      </c>
      <c r="E212" s="6" t="s">
        <v>26</v>
      </c>
      <c r="F212" s="6" t="s">
        <v>25</v>
      </c>
      <c r="G212" s="6" t="s">
        <v>33</v>
      </c>
      <c r="H212" s="6">
        <v>14</v>
      </c>
      <c r="I212" s="6">
        <v>3</v>
      </c>
      <c r="J212" s="6">
        <v>7</v>
      </c>
    </row>
    <row r="213" spans="1:10" x14ac:dyDescent="0.25">
      <c r="A213" s="1">
        <v>10142</v>
      </c>
      <c r="B213" s="1">
        <v>53</v>
      </c>
      <c r="C213" s="1">
        <v>59370</v>
      </c>
      <c r="D213" s="1" t="s">
        <v>19</v>
      </c>
      <c r="E213" s="1" t="s">
        <v>32</v>
      </c>
      <c r="F213" s="1" t="s">
        <v>25</v>
      </c>
      <c r="G213" s="1" t="s">
        <v>13</v>
      </c>
      <c r="H213" s="1">
        <v>11</v>
      </c>
      <c r="I213" s="1">
        <v>4</v>
      </c>
      <c r="J213" s="1">
        <v>0</v>
      </c>
    </row>
    <row r="214" spans="1:10" x14ac:dyDescent="0.25">
      <c r="A214" s="6">
        <v>10182</v>
      </c>
      <c r="B214" s="6">
        <v>40</v>
      </c>
      <c r="C214" s="6">
        <v>49920</v>
      </c>
      <c r="D214" s="6" t="s">
        <v>19</v>
      </c>
      <c r="E214" s="6" t="s">
        <v>44</v>
      </c>
      <c r="F214" s="6" t="s">
        <v>25</v>
      </c>
      <c r="G214" s="6" t="s">
        <v>21</v>
      </c>
      <c r="H214" s="6">
        <v>22</v>
      </c>
      <c r="I214" s="6">
        <v>3</v>
      </c>
      <c r="J214" s="6">
        <v>4</v>
      </c>
    </row>
    <row r="215" spans="1:10" x14ac:dyDescent="0.25">
      <c r="A215" s="1">
        <v>10199</v>
      </c>
      <c r="B215" s="1">
        <v>61</v>
      </c>
      <c r="C215" s="1">
        <v>103613</v>
      </c>
      <c r="D215" s="1" t="s">
        <v>10</v>
      </c>
      <c r="E215" s="1" t="s">
        <v>27</v>
      </c>
      <c r="F215" s="1" t="s">
        <v>25</v>
      </c>
      <c r="G215" s="1" t="s">
        <v>16</v>
      </c>
      <c r="H215" s="1">
        <v>17</v>
      </c>
      <c r="I215" s="1">
        <v>5</v>
      </c>
      <c r="J215" s="1">
        <v>7</v>
      </c>
    </row>
    <row r="216" spans="1:10" x14ac:dyDescent="0.25">
      <c r="A216" s="6">
        <v>10245</v>
      </c>
      <c r="B216" s="6">
        <v>39</v>
      </c>
      <c r="C216" s="6">
        <v>110000</v>
      </c>
      <c r="D216" s="6" t="s">
        <v>19</v>
      </c>
      <c r="E216" s="6" t="s">
        <v>26</v>
      </c>
      <c r="F216" s="6" t="s">
        <v>25</v>
      </c>
      <c r="G216" s="6" t="s">
        <v>13</v>
      </c>
      <c r="H216" s="6">
        <v>13</v>
      </c>
      <c r="I216" s="6">
        <v>4</v>
      </c>
      <c r="J216" s="6">
        <v>5</v>
      </c>
    </row>
    <row r="217" spans="1:10" x14ac:dyDescent="0.25">
      <c r="A217" s="1">
        <v>10246</v>
      </c>
      <c r="B217" s="1">
        <v>53</v>
      </c>
      <c r="C217" s="1">
        <v>114800</v>
      </c>
      <c r="D217" s="1" t="s">
        <v>19</v>
      </c>
      <c r="E217" s="1" t="s">
        <v>26</v>
      </c>
      <c r="F217" s="1" t="s">
        <v>25</v>
      </c>
      <c r="G217" s="1" t="s">
        <v>13</v>
      </c>
      <c r="H217" s="1">
        <v>18</v>
      </c>
      <c r="I217" s="1">
        <v>4</v>
      </c>
      <c r="J217" s="1">
        <v>4</v>
      </c>
    </row>
    <row r="218" spans="1:10" x14ac:dyDescent="0.25">
      <c r="A218" s="6">
        <v>10280</v>
      </c>
      <c r="B218" s="6">
        <v>42</v>
      </c>
      <c r="C218" s="6">
        <v>60340</v>
      </c>
      <c r="D218" s="6" t="s">
        <v>10</v>
      </c>
      <c r="E218" s="6" t="s">
        <v>11</v>
      </c>
      <c r="F218" s="6" t="s">
        <v>25</v>
      </c>
      <c r="G218" s="6" t="s">
        <v>13</v>
      </c>
      <c r="H218" s="6">
        <v>15</v>
      </c>
      <c r="I218" s="6">
        <v>4</v>
      </c>
      <c r="J218" s="6">
        <v>0</v>
      </c>
    </row>
    <row r="219" spans="1:10" x14ac:dyDescent="0.25">
      <c r="A219" s="1">
        <v>10285</v>
      </c>
      <c r="B219" s="1">
        <v>40</v>
      </c>
      <c r="C219" s="1">
        <v>61422</v>
      </c>
      <c r="D219" s="1" t="s">
        <v>19</v>
      </c>
      <c r="E219" s="1" t="s">
        <v>11</v>
      </c>
      <c r="F219" s="1" t="s">
        <v>25</v>
      </c>
      <c r="G219" s="1" t="s">
        <v>13</v>
      </c>
      <c r="H219" s="1">
        <v>14</v>
      </c>
      <c r="I219" s="1">
        <v>3</v>
      </c>
      <c r="J219" s="1">
        <v>0</v>
      </c>
    </row>
    <row r="220" spans="1:10" x14ac:dyDescent="0.25">
      <c r="A220" s="6">
        <v>10290</v>
      </c>
      <c r="B220" s="6">
        <v>38</v>
      </c>
      <c r="C220" s="6">
        <v>99280</v>
      </c>
      <c r="D220" s="6" t="s">
        <v>19</v>
      </c>
      <c r="E220" s="6" t="s">
        <v>20</v>
      </c>
      <c r="F220" s="6" t="s">
        <v>25</v>
      </c>
      <c r="G220" s="6" t="s">
        <v>13</v>
      </c>
      <c r="H220" s="6">
        <v>13</v>
      </c>
      <c r="I220" s="6">
        <v>5</v>
      </c>
      <c r="J220" s="6">
        <v>4</v>
      </c>
    </row>
    <row r="221" spans="1:10" x14ac:dyDescent="0.25">
      <c r="A221" s="1">
        <v>10292</v>
      </c>
      <c r="B221" s="1">
        <v>45</v>
      </c>
      <c r="C221" s="1">
        <v>59144</v>
      </c>
      <c r="D221" s="1" t="s">
        <v>10</v>
      </c>
      <c r="E221" s="1" t="s">
        <v>11</v>
      </c>
      <c r="F221" s="1" t="s">
        <v>25</v>
      </c>
      <c r="G221" s="1" t="s">
        <v>13</v>
      </c>
      <c r="H221" s="1">
        <v>14</v>
      </c>
      <c r="I221" s="1">
        <v>3</v>
      </c>
      <c r="J221" s="1">
        <v>0</v>
      </c>
    </row>
    <row r="222" spans="1:10" x14ac:dyDescent="0.25">
      <c r="A222" s="6">
        <v>10296</v>
      </c>
      <c r="B222" s="6">
        <v>36</v>
      </c>
      <c r="C222" s="6">
        <v>59124</v>
      </c>
      <c r="D222" s="6" t="s">
        <v>19</v>
      </c>
      <c r="E222" s="6" t="s">
        <v>11</v>
      </c>
      <c r="F222" s="6" t="s">
        <v>25</v>
      </c>
      <c r="G222" s="6" t="s">
        <v>16</v>
      </c>
      <c r="H222" s="6">
        <v>22</v>
      </c>
      <c r="I222" s="6">
        <v>3</v>
      </c>
      <c r="J222" s="6">
        <v>0</v>
      </c>
    </row>
    <row r="223" spans="1:10" x14ac:dyDescent="0.25">
      <c r="A223" s="1">
        <v>10303</v>
      </c>
      <c r="B223" s="1">
        <v>44</v>
      </c>
      <c r="C223" s="1">
        <v>52674</v>
      </c>
      <c r="D223" s="1" t="s">
        <v>19</v>
      </c>
      <c r="E223" s="1" t="s">
        <v>11</v>
      </c>
      <c r="F223" s="1" t="s">
        <v>25</v>
      </c>
      <c r="G223" s="1" t="s">
        <v>13</v>
      </c>
      <c r="H223" s="1">
        <v>19</v>
      </c>
      <c r="I223" s="1">
        <v>2</v>
      </c>
      <c r="J223" s="1">
        <v>0</v>
      </c>
    </row>
    <row r="224" spans="1:10" x14ac:dyDescent="0.25">
      <c r="A224" s="6">
        <v>10305</v>
      </c>
      <c r="B224" s="6">
        <v>50</v>
      </c>
      <c r="C224" s="6">
        <v>70187</v>
      </c>
      <c r="D224" s="6" t="s">
        <v>10</v>
      </c>
      <c r="E224" s="6" t="s">
        <v>32</v>
      </c>
      <c r="F224" s="6" t="s">
        <v>25</v>
      </c>
      <c r="G224" s="6" t="s">
        <v>13</v>
      </c>
      <c r="H224" s="6">
        <v>14</v>
      </c>
      <c r="I224" s="6">
        <v>5</v>
      </c>
      <c r="J224" s="6">
        <v>0</v>
      </c>
    </row>
    <row r="225" spans="1:10" x14ac:dyDescent="0.25">
      <c r="A225" s="1">
        <v>10004</v>
      </c>
      <c r="B225" s="1">
        <v>52</v>
      </c>
      <c r="C225" s="1">
        <v>47434</v>
      </c>
      <c r="D225" s="1" t="s">
        <v>19</v>
      </c>
      <c r="E225" s="1" t="s">
        <v>11</v>
      </c>
      <c r="F225" s="1" t="s">
        <v>15</v>
      </c>
      <c r="G225" s="1" t="s">
        <v>33</v>
      </c>
      <c r="H225" s="1">
        <v>13</v>
      </c>
      <c r="I225" s="1">
        <v>4</v>
      </c>
      <c r="J225" s="1">
        <v>0</v>
      </c>
    </row>
    <row r="226" spans="1:10" x14ac:dyDescent="0.25">
      <c r="A226" s="6">
        <v>10005</v>
      </c>
      <c r="B226" s="6">
        <v>46</v>
      </c>
      <c r="C226" s="6">
        <v>108987</v>
      </c>
      <c r="D226" s="6" t="s">
        <v>10</v>
      </c>
      <c r="E226" s="6" t="s">
        <v>20</v>
      </c>
      <c r="F226" s="6" t="s">
        <v>15</v>
      </c>
      <c r="G226" s="6" t="s">
        <v>13</v>
      </c>
      <c r="H226" s="6">
        <v>14</v>
      </c>
      <c r="I226" s="6">
        <v>5</v>
      </c>
      <c r="J226" s="6">
        <v>3</v>
      </c>
    </row>
    <row r="227" spans="1:10" x14ac:dyDescent="0.25">
      <c r="A227" s="1">
        <v>10014</v>
      </c>
      <c r="B227" s="1">
        <v>38</v>
      </c>
      <c r="C227" s="1">
        <v>58523</v>
      </c>
      <c r="D227" s="1" t="s">
        <v>10</v>
      </c>
      <c r="E227" s="1" t="s">
        <v>11</v>
      </c>
      <c r="F227" s="1" t="s">
        <v>15</v>
      </c>
      <c r="G227" s="1" t="s">
        <v>13</v>
      </c>
      <c r="H227" s="1">
        <v>15</v>
      </c>
      <c r="I227" s="1">
        <v>5</v>
      </c>
      <c r="J227" s="1">
        <v>0</v>
      </c>
    </row>
    <row r="228" spans="1:10" x14ac:dyDescent="0.25">
      <c r="A228" s="6">
        <v>10030</v>
      </c>
      <c r="B228" s="6">
        <v>52</v>
      </c>
      <c r="C228" s="6">
        <v>62425</v>
      </c>
      <c r="D228" s="6" t="s">
        <v>19</v>
      </c>
      <c r="E228" s="6" t="s">
        <v>11</v>
      </c>
      <c r="F228" s="6" t="s">
        <v>15</v>
      </c>
      <c r="G228" s="6" t="s">
        <v>13</v>
      </c>
      <c r="H228" s="6">
        <v>14</v>
      </c>
      <c r="I228" s="6">
        <v>4</v>
      </c>
      <c r="J228" s="6">
        <v>0</v>
      </c>
    </row>
    <row r="229" spans="1:10" x14ac:dyDescent="0.25">
      <c r="A229" s="1">
        <v>10032</v>
      </c>
      <c r="B229" s="1">
        <v>39</v>
      </c>
      <c r="C229" s="1">
        <v>57954</v>
      </c>
      <c r="D229" s="1" t="s">
        <v>19</v>
      </c>
      <c r="E229" s="1" t="s">
        <v>18</v>
      </c>
      <c r="F229" s="1" t="s">
        <v>15</v>
      </c>
      <c r="G229" s="1" t="s">
        <v>21</v>
      </c>
      <c r="H229" s="1">
        <v>23</v>
      </c>
      <c r="I229" s="1">
        <v>5</v>
      </c>
      <c r="J229" s="1">
        <v>0</v>
      </c>
    </row>
    <row r="230" spans="1:10" x14ac:dyDescent="0.25">
      <c r="A230" s="6">
        <v>10033</v>
      </c>
      <c r="B230" s="6">
        <v>67</v>
      </c>
      <c r="C230" s="6">
        <v>70507</v>
      </c>
      <c r="D230" s="6" t="s">
        <v>10</v>
      </c>
      <c r="E230" s="6" t="s">
        <v>18</v>
      </c>
      <c r="F230" s="6" t="s">
        <v>15</v>
      </c>
      <c r="G230" s="6" t="s">
        <v>16</v>
      </c>
      <c r="H230" s="6">
        <v>14</v>
      </c>
      <c r="I230" s="6">
        <v>3</v>
      </c>
      <c r="J230" s="6">
        <v>0</v>
      </c>
    </row>
    <row r="231" spans="1:10" x14ac:dyDescent="0.25">
      <c r="A231" s="1">
        <v>10034</v>
      </c>
      <c r="B231" s="1">
        <v>66</v>
      </c>
      <c r="C231" s="1">
        <v>46837</v>
      </c>
      <c r="D231" s="1" t="s">
        <v>10</v>
      </c>
      <c r="E231" s="1" t="s">
        <v>11</v>
      </c>
      <c r="F231" s="1" t="s">
        <v>15</v>
      </c>
      <c r="G231" s="1" t="s">
        <v>13</v>
      </c>
      <c r="H231" s="1">
        <v>12</v>
      </c>
      <c r="I231" s="1">
        <v>4</v>
      </c>
      <c r="J231" s="1">
        <v>0</v>
      </c>
    </row>
    <row r="232" spans="1:10" x14ac:dyDescent="0.25">
      <c r="A232" s="6">
        <v>10044</v>
      </c>
      <c r="B232" s="6">
        <v>37</v>
      </c>
      <c r="C232" s="6">
        <v>75281</v>
      </c>
      <c r="D232" s="6" t="s">
        <v>10</v>
      </c>
      <c r="E232" s="6" t="s">
        <v>41</v>
      </c>
      <c r="F232" s="6" t="s">
        <v>15</v>
      </c>
      <c r="G232" s="6" t="s">
        <v>33</v>
      </c>
      <c r="H232" s="6">
        <v>12</v>
      </c>
      <c r="I232" s="6">
        <v>3</v>
      </c>
      <c r="J232" s="6">
        <v>5</v>
      </c>
    </row>
    <row r="233" spans="1:10" x14ac:dyDescent="0.25">
      <c r="A233" s="1">
        <v>10047</v>
      </c>
      <c r="B233" s="1">
        <v>51</v>
      </c>
      <c r="C233" s="1">
        <v>50428</v>
      </c>
      <c r="D233" s="1" t="s">
        <v>10</v>
      </c>
      <c r="E233" s="1" t="s">
        <v>11</v>
      </c>
      <c r="F233" s="1" t="s">
        <v>15</v>
      </c>
      <c r="G233" s="1" t="s">
        <v>13</v>
      </c>
      <c r="H233" s="1">
        <v>17</v>
      </c>
      <c r="I233" s="1">
        <v>3</v>
      </c>
      <c r="J233" s="1">
        <v>0</v>
      </c>
    </row>
    <row r="234" spans="1:10" x14ac:dyDescent="0.25">
      <c r="A234" s="6">
        <v>10048</v>
      </c>
      <c r="B234" s="6">
        <v>60</v>
      </c>
      <c r="C234" s="6">
        <v>55140</v>
      </c>
      <c r="D234" s="6" t="s">
        <v>10</v>
      </c>
      <c r="E234" s="6" t="s">
        <v>11</v>
      </c>
      <c r="F234" s="6" t="s">
        <v>15</v>
      </c>
      <c r="G234" s="6" t="s">
        <v>13</v>
      </c>
      <c r="H234" s="6">
        <v>13</v>
      </c>
      <c r="I234" s="6">
        <v>3</v>
      </c>
      <c r="J234" s="6">
        <v>0</v>
      </c>
    </row>
    <row r="235" spans="1:10" x14ac:dyDescent="0.25">
      <c r="A235" s="1">
        <v>10050</v>
      </c>
      <c r="B235" s="1">
        <v>37</v>
      </c>
      <c r="C235" s="1">
        <v>64724</v>
      </c>
      <c r="D235" s="1" t="s">
        <v>10</v>
      </c>
      <c r="E235" s="1" t="s">
        <v>11</v>
      </c>
      <c r="F235" s="1" t="s">
        <v>15</v>
      </c>
      <c r="G235" s="1" t="s">
        <v>13</v>
      </c>
      <c r="H235" s="1">
        <v>16</v>
      </c>
      <c r="I235" s="1">
        <v>3</v>
      </c>
      <c r="J235" s="1">
        <v>0</v>
      </c>
    </row>
    <row r="236" spans="1:10" x14ac:dyDescent="0.25">
      <c r="A236" s="6">
        <v>10058</v>
      </c>
      <c r="B236" s="6">
        <v>43</v>
      </c>
      <c r="C236" s="6">
        <v>45115</v>
      </c>
      <c r="D236" s="6" t="s">
        <v>10</v>
      </c>
      <c r="E236" s="6" t="s">
        <v>11</v>
      </c>
      <c r="F236" s="6" t="s">
        <v>15</v>
      </c>
      <c r="G236" s="6" t="s">
        <v>13</v>
      </c>
      <c r="H236" s="6">
        <v>13</v>
      </c>
      <c r="I236" s="6">
        <v>4</v>
      </c>
      <c r="J236" s="6">
        <v>0</v>
      </c>
    </row>
    <row r="237" spans="1:10" x14ac:dyDescent="0.25">
      <c r="A237" s="1">
        <v>10059</v>
      </c>
      <c r="B237" s="1">
        <v>42</v>
      </c>
      <c r="C237" s="1">
        <v>63813</v>
      </c>
      <c r="D237" s="1" t="s">
        <v>19</v>
      </c>
      <c r="E237" s="1" t="s">
        <v>11</v>
      </c>
      <c r="F237" s="1" t="s">
        <v>15</v>
      </c>
      <c r="G237" s="1" t="s">
        <v>13</v>
      </c>
      <c r="H237" s="1">
        <v>17</v>
      </c>
      <c r="I237" s="1">
        <v>5</v>
      </c>
      <c r="J237" s="1">
        <v>0</v>
      </c>
    </row>
    <row r="238" spans="1:10" x14ac:dyDescent="0.25">
      <c r="A238" s="6">
        <v>10064</v>
      </c>
      <c r="B238" s="6">
        <v>34</v>
      </c>
      <c r="C238" s="6">
        <v>60070</v>
      </c>
      <c r="D238" s="6" t="s">
        <v>19</v>
      </c>
      <c r="E238" s="6" t="s">
        <v>11</v>
      </c>
      <c r="F238" s="6" t="s">
        <v>15</v>
      </c>
      <c r="G238" s="6" t="s">
        <v>13</v>
      </c>
      <c r="H238" s="6">
        <v>16</v>
      </c>
      <c r="I238" s="6">
        <v>3</v>
      </c>
      <c r="J238" s="6">
        <v>0</v>
      </c>
    </row>
    <row r="239" spans="1:10" x14ac:dyDescent="0.25">
      <c r="A239" s="1">
        <v>10065</v>
      </c>
      <c r="B239" s="1">
        <v>38</v>
      </c>
      <c r="C239" s="1">
        <v>53180</v>
      </c>
      <c r="D239" s="1" t="s">
        <v>10</v>
      </c>
      <c r="E239" s="1" t="s">
        <v>11</v>
      </c>
      <c r="F239" s="1" t="s">
        <v>15</v>
      </c>
      <c r="G239" s="1" t="s">
        <v>13</v>
      </c>
      <c r="H239" s="1">
        <v>11</v>
      </c>
      <c r="I239" s="1">
        <v>5</v>
      </c>
      <c r="J239" s="1">
        <v>0</v>
      </c>
    </row>
    <row r="240" spans="1:10" x14ac:dyDescent="0.25">
      <c r="A240" s="6">
        <v>10066</v>
      </c>
      <c r="B240" s="6">
        <v>48</v>
      </c>
      <c r="C240" s="6">
        <v>52505</v>
      </c>
      <c r="D240" s="6" t="s">
        <v>10</v>
      </c>
      <c r="E240" s="6" t="s">
        <v>11</v>
      </c>
      <c r="F240" s="6" t="s">
        <v>15</v>
      </c>
      <c r="G240" s="6" t="s">
        <v>16</v>
      </c>
      <c r="H240" s="6">
        <v>25</v>
      </c>
      <c r="I240" s="6">
        <v>5</v>
      </c>
      <c r="J240" s="6">
        <v>0</v>
      </c>
    </row>
    <row r="241" spans="1:10" x14ac:dyDescent="0.25">
      <c r="A241" s="1">
        <v>10069</v>
      </c>
      <c r="B241" s="1">
        <v>36</v>
      </c>
      <c r="C241" s="1">
        <v>50825</v>
      </c>
      <c r="D241" s="1" t="s">
        <v>19</v>
      </c>
      <c r="E241" s="1" t="s">
        <v>11</v>
      </c>
      <c r="F241" s="1" t="s">
        <v>15</v>
      </c>
      <c r="G241" s="1" t="s">
        <v>16</v>
      </c>
      <c r="H241" s="1">
        <v>12</v>
      </c>
      <c r="I241" s="1">
        <v>4</v>
      </c>
      <c r="J241" s="1">
        <v>0</v>
      </c>
    </row>
    <row r="242" spans="1:10" x14ac:dyDescent="0.25">
      <c r="A242" s="6">
        <v>10070</v>
      </c>
      <c r="B242" s="6">
        <v>47</v>
      </c>
      <c r="C242" s="6">
        <v>55722</v>
      </c>
      <c r="D242" s="6" t="s">
        <v>10</v>
      </c>
      <c r="E242" s="6" t="s">
        <v>11</v>
      </c>
      <c r="F242" s="6" t="s">
        <v>15</v>
      </c>
      <c r="G242" s="6" t="s">
        <v>16</v>
      </c>
      <c r="H242" s="6">
        <v>16</v>
      </c>
      <c r="I242" s="6">
        <v>4</v>
      </c>
      <c r="J242" s="6">
        <v>0</v>
      </c>
    </row>
    <row r="243" spans="1:10" x14ac:dyDescent="0.25">
      <c r="A243" s="1">
        <v>10072</v>
      </c>
      <c r="B243" s="1">
        <v>38</v>
      </c>
      <c r="C243" s="1">
        <v>58371</v>
      </c>
      <c r="D243" s="1" t="s">
        <v>10</v>
      </c>
      <c r="E243" s="1" t="s">
        <v>11</v>
      </c>
      <c r="F243" s="1" t="s">
        <v>15</v>
      </c>
      <c r="G243" s="1" t="s">
        <v>13</v>
      </c>
      <c r="H243" s="1">
        <v>13</v>
      </c>
      <c r="I243" s="1">
        <v>5</v>
      </c>
      <c r="J243" s="1">
        <v>0</v>
      </c>
    </row>
    <row r="244" spans="1:10" x14ac:dyDescent="0.25">
      <c r="A244" s="6">
        <v>10073</v>
      </c>
      <c r="B244" s="6">
        <v>38</v>
      </c>
      <c r="C244" s="6">
        <v>68407</v>
      </c>
      <c r="D244" s="6" t="s">
        <v>19</v>
      </c>
      <c r="E244" s="6" t="s">
        <v>18</v>
      </c>
      <c r="F244" s="6" t="s">
        <v>15</v>
      </c>
      <c r="G244" s="6" t="s">
        <v>13</v>
      </c>
      <c r="H244" s="6">
        <v>11</v>
      </c>
      <c r="I244" s="6">
        <v>4</v>
      </c>
      <c r="J244" s="6">
        <v>0</v>
      </c>
    </row>
    <row r="245" spans="1:10" x14ac:dyDescent="0.25">
      <c r="A245" s="1">
        <v>10075</v>
      </c>
      <c r="B245" s="1">
        <v>53</v>
      </c>
      <c r="C245" s="1">
        <v>68099</v>
      </c>
      <c r="D245" s="1" t="s">
        <v>19</v>
      </c>
      <c r="E245" s="1" t="s">
        <v>18</v>
      </c>
      <c r="F245" s="1" t="s">
        <v>15</v>
      </c>
      <c r="G245" s="1" t="s">
        <v>16</v>
      </c>
      <c r="H245" s="1">
        <v>20</v>
      </c>
      <c r="I245" s="1">
        <v>3</v>
      </c>
      <c r="J245" s="1">
        <v>0</v>
      </c>
    </row>
    <row r="246" spans="1:10" x14ac:dyDescent="0.25">
      <c r="A246" s="6">
        <v>10078</v>
      </c>
      <c r="B246" s="6">
        <v>72</v>
      </c>
      <c r="C246" s="6">
        <v>71966</v>
      </c>
      <c r="D246" s="6" t="s">
        <v>19</v>
      </c>
      <c r="E246" s="6" t="s">
        <v>18</v>
      </c>
      <c r="F246" s="6" t="s">
        <v>15</v>
      </c>
      <c r="G246" s="6" t="s">
        <v>16</v>
      </c>
      <c r="H246" s="6">
        <v>14</v>
      </c>
      <c r="I246" s="6">
        <v>3</v>
      </c>
      <c r="J246" s="6">
        <v>0</v>
      </c>
    </row>
    <row r="247" spans="1:10" x14ac:dyDescent="0.25">
      <c r="A247" s="1">
        <v>10084</v>
      </c>
      <c r="B247" s="1">
        <v>50</v>
      </c>
      <c r="C247" s="1">
        <v>104437</v>
      </c>
      <c r="D247" s="1" t="s">
        <v>10</v>
      </c>
      <c r="E247" s="1" t="s">
        <v>14</v>
      </c>
      <c r="F247" s="1" t="s">
        <v>15</v>
      </c>
      <c r="G247" s="1" t="s">
        <v>21</v>
      </c>
      <c r="H247" s="1">
        <v>12</v>
      </c>
      <c r="I247" s="1">
        <v>3</v>
      </c>
      <c r="J247" s="1">
        <v>6</v>
      </c>
    </row>
    <row r="248" spans="1:10" x14ac:dyDescent="0.25">
      <c r="A248" s="6">
        <v>10087</v>
      </c>
      <c r="B248" s="6">
        <v>46</v>
      </c>
      <c r="C248" s="6">
        <v>63676</v>
      </c>
      <c r="D248" s="6" t="s">
        <v>19</v>
      </c>
      <c r="E248" s="6" t="s">
        <v>11</v>
      </c>
      <c r="F248" s="6" t="s">
        <v>15</v>
      </c>
      <c r="G248" s="6" t="s">
        <v>13</v>
      </c>
      <c r="H248" s="6">
        <v>12</v>
      </c>
      <c r="I248" s="6">
        <v>3</v>
      </c>
      <c r="J248" s="6">
        <v>0</v>
      </c>
    </row>
    <row r="249" spans="1:10" x14ac:dyDescent="0.25">
      <c r="A249" s="1">
        <v>10093</v>
      </c>
      <c r="B249" s="1">
        <v>44</v>
      </c>
      <c r="C249" s="1">
        <v>72609</v>
      </c>
      <c r="D249" s="1" t="s">
        <v>10</v>
      </c>
      <c r="E249" s="1" t="s">
        <v>18</v>
      </c>
      <c r="F249" s="1" t="s">
        <v>15</v>
      </c>
      <c r="G249" s="1" t="s">
        <v>13</v>
      </c>
      <c r="H249" s="1">
        <v>11</v>
      </c>
      <c r="I249" s="1">
        <v>5</v>
      </c>
      <c r="J249" s="1">
        <v>0</v>
      </c>
    </row>
    <row r="250" spans="1:10" x14ac:dyDescent="0.25">
      <c r="A250" s="6">
        <v>10095</v>
      </c>
      <c r="B250" s="6">
        <v>37</v>
      </c>
      <c r="C250" s="6">
        <v>63878</v>
      </c>
      <c r="D250" s="6" t="s">
        <v>19</v>
      </c>
      <c r="E250" s="6" t="s">
        <v>18</v>
      </c>
      <c r="F250" s="6" t="s">
        <v>15</v>
      </c>
      <c r="G250" s="6" t="s">
        <v>13</v>
      </c>
      <c r="H250" s="6">
        <v>12</v>
      </c>
      <c r="I250" s="6">
        <v>4</v>
      </c>
      <c r="J250" s="6">
        <v>0</v>
      </c>
    </row>
    <row r="251" spans="1:10" x14ac:dyDescent="0.25">
      <c r="A251" s="1">
        <v>10096</v>
      </c>
      <c r="B251" s="1">
        <v>48</v>
      </c>
      <c r="C251" s="1">
        <v>67237</v>
      </c>
      <c r="D251" s="1" t="s">
        <v>19</v>
      </c>
      <c r="E251" s="1" t="s">
        <v>18</v>
      </c>
      <c r="F251" s="1" t="s">
        <v>15</v>
      </c>
      <c r="G251" s="1" t="s">
        <v>16</v>
      </c>
      <c r="H251" s="1">
        <v>14</v>
      </c>
      <c r="I251" s="1">
        <v>4</v>
      </c>
      <c r="J251" s="1">
        <v>0</v>
      </c>
    </row>
    <row r="252" spans="1:10" x14ac:dyDescent="0.25">
      <c r="A252" s="6">
        <v>10097</v>
      </c>
      <c r="B252" s="6">
        <v>73</v>
      </c>
      <c r="C252" s="6">
        <v>52177</v>
      </c>
      <c r="D252" s="6" t="s">
        <v>19</v>
      </c>
      <c r="E252" s="6" t="s">
        <v>11</v>
      </c>
      <c r="F252" s="6" t="s">
        <v>15</v>
      </c>
      <c r="G252" s="6" t="s">
        <v>13</v>
      </c>
      <c r="H252" s="6">
        <v>19</v>
      </c>
      <c r="I252" s="6">
        <v>4</v>
      </c>
      <c r="J252" s="6">
        <v>0</v>
      </c>
    </row>
    <row r="253" spans="1:10" x14ac:dyDescent="0.25">
      <c r="A253" s="1">
        <v>10100</v>
      </c>
      <c r="B253" s="1">
        <v>74</v>
      </c>
      <c r="C253" s="1">
        <v>58275</v>
      </c>
      <c r="D253" s="1" t="s">
        <v>19</v>
      </c>
      <c r="E253" s="1" t="s">
        <v>18</v>
      </c>
      <c r="F253" s="1" t="s">
        <v>15</v>
      </c>
      <c r="G253" s="1" t="s">
        <v>13</v>
      </c>
      <c r="H253" s="1">
        <v>13</v>
      </c>
      <c r="I253" s="1">
        <v>5</v>
      </c>
      <c r="J253" s="1">
        <v>0</v>
      </c>
    </row>
    <row r="254" spans="1:10" x14ac:dyDescent="0.25">
      <c r="A254" s="6">
        <v>10102</v>
      </c>
      <c r="B254" s="6">
        <v>42</v>
      </c>
      <c r="C254" s="6">
        <v>100416</v>
      </c>
      <c r="D254" s="6" t="s">
        <v>10</v>
      </c>
      <c r="E254" s="6" t="s">
        <v>20</v>
      </c>
      <c r="F254" s="6" t="s">
        <v>15</v>
      </c>
      <c r="G254" s="6" t="s">
        <v>16</v>
      </c>
      <c r="H254" s="6">
        <v>11</v>
      </c>
      <c r="I254" s="6">
        <v>3</v>
      </c>
      <c r="J254" s="6">
        <v>4</v>
      </c>
    </row>
    <row r="255" spans="1:10" x14ac:dyDescent="0.25">
      <c r="A255" s="1">
        <v>10106</v>
      </c>
      <c r="B255" s="1">
        <v>46</v>
      </c>
      <c r="C255" s="1">
        <v>66074</v>
      </c>
      <c r="D255" s="1" t="s">
        <v>19</v>
      </c>
      <c r="E255" s="1" t="s">
        <v>18</v>
      </c>
      <c r="F255" s="1" t="s">
        <v>15</v>
      </c>
      <c r="G255" s="1" t="s">
        <v>13</v>
      </c>
      <c r="H255" s="1">
        <v>13</v>
      </c>
      <c r="I255" s="1">
        <v>3</v>
      </c>
      <c r="J255" s="1">
        <v>0</v>
      </c>
    </row>
    <row r="256" spans="1:10" x14ac:dyDescent="0.25">
      <c r="A256" s="6">
        <v>10109</v>
      </c>
      <c r="B256" s="6">
        <v>56</v>
      </c>
      <c r="C256" s="6">
        <v>71707</v>
      </c>
      <c r="D256" s="6" t="s">
        <v>10</v>
      </c>
      <c r="E256" s="6" t="s">
        <v>32</v>
      </c>
      <c r="F256" s="6" t="s">
        <v>15</v>
      </c>
      <c r="G256" s="6" t="s">
        <v>16</v>
      </c>
      <c r="H256" s="6">
        <v>19</v>
      </c>
      <c r="I256" s="6">
        <v>5</v>
      </c>
      <c r="J256" s="6">
        <v>0</v>
      </c>
    </row>
    <row r="257" spans="1:10" x14ac:dyDescent="0.25">
      <c r="A257" s="1">
        <v>10122</v>
      </c>
      <c r="B257" s="1">
        <v>55</v>
      </c>
      <c r="C257" s="1">
        <v>51505</v>
      </c>
      <c r="D257" s="1" t="s">
        <v>19</v>
      </c>
      <c r="E257" s="1" t="s">
        <v>11</v>
      </c>
      <c r="F257" s="1" t="s">
        <v>15</v>
      </c>
      <c r="G257" s="1" t="s">
        <v>29</v>
      </c>
      <c r="H257" s="1">
        <v>13</v>
      </c>
      <c r="I257" s="1">
        <v>4</v>
      </c>
      <c r="J257" s="1">
        <v>0</v>
      </c>
    </row>
    <row r="258" spans="1:10" x14ac:dyDescent="0.25">
      <c r="A258" s="6">
        <v>10128</v>
      </c>
      <c r="B258" s="6">
        <v>57</v>
      </c>
      <c r="C258" s="6">
        <v>62659</v>
      </c>
      <c r="D258" s="6" t="s">
        <v>19</v>
      </c>
      <c r="E258" s="6" t="s">
        <v>11</v>
      </c>
      <c r="F258" s="6" t="s">
        <v>15</v>
      </c>
      <c r="G258" s="6" t="s">
        <v>13</v>
      </c>
      <c r="H258" s="6">
        <v>16</v>
      </c>
      <c r="I258" s="6">
        <v>4</v>
      </c>
      <c r="J258" s="6">
        <v>0</v>
      </c>
    </row>
    <row r="259" spans="1:10" x14ac:dyDescent="0.25">
      <c r="A259" s="1">
        <v>10130</v>
      </c>
      <c r="B259" s="1">
        <v>48</v>
      </c>
      <c r="C259" s="1">
        <v>74669</v>
      </c>
      <c r="D259" s="1" t="s">
        <v>19</v>
      </c>
      <c r="E259" s="1" t="s">
        <v>30</v>
      </c>
      <c r="F259" s="1" t="s">
        <v>15</v>
      </c>
      <c r="G259" s="1" t="s">
        <v>13</v>
      </c>
      <c r="H259" s="1">
        <v>21</v>
      </c>
      <c r="I259" s="1">
        <v>5</v>
      </c>
      <c r="J259" s="1">
        <v>0</v>
      </c>
    </row>
    <row r="260" spans="1:10" x14ac:dyDescent="0.25">
      <c r="A260" s="6">
        <v>10131</v>
      </c>
      <c r="B260" s="6">
        <v>41</v>
      </c>
      <c r="C260" s="6">
        <v>83363</v>
      </c>
      <c r="D260" s="6" t="s">
        <v>10</v>
      </c>
      <c r="E260" s="6" t="s">
        <v>20</v>
      </c>
      <c r="F260" s="6" t="s">
        <v>15</v>
      </c>
      <c r="G260" s="6" t="s">
        <v>33</v>
      </c>
      <c r="H260" s="6">
        <v>14</v>
      </c>
      <c r="I260" s="6">
        <v>4</v>
      </c>
      <c r="J260" s="6">
        <v>0</v>
      </c>
    </row>
    <row r="261" spans="1:10" x14ac:dyDescent="0.25">
      <c r="A261" s="1">
        <v>10138</v>
      </c>
      <c r="B261" s="1">
        <v>39</v>
      </c>
      <c r="C261" s="1">
        <v>61154</v>
      </c>
      <c r="D261" s="1" t="s">
        <v>19</v>
      </c>
      <c r="E261" s="1" t="s">
        <v>11</v>
      </c>
      <c r="F261" s="1" t="s">
        <v>15</v>
      </c>
      <c r="G261" s="1" t="s">
        <v>29</v>
      </c>
      <c r="H261" s="1">
        <v>13</v>
      </c>
      <c r="I261" s="1">
        <v>4</v>
      </c>
      <c r="J261" s="1">
        <v>0</v>
      </c>
    </row>
    <row r="262" spans="1:10" x14ac:dyDescent="0.25">
      <c r="A262" s="6">
        <v>10141</v>
      </c>
      <c r="B262" s="6">
        <v>60</v>
      </c>
      <c r="C262" s="6">
        <v>48413</v>
      </c>
      <c r="D262" s="6" t="s">
        <v>19</v>
      </c>
      <c r="E262" s="6" t="s">
        <v>11</v>
      </c>
      <c r="F262" s="6" t="s">
        <v>15</v>
      </c>
      <c r="G262" s="6" t="s">
        <v>13</v>
      </c>
      <c r="H262" s="6">
        <v>12</v>
      </c>
      <c r="I262" s="6">
        <v>4</v>
      </c>
      <c r="J262" s="6">
        <v>0</v>
      </c>
    </row>
    <row r="263" spans="1:10" x14ac:dyDescent="0.25">
      <c r="A263" s="1">
        <v>10146</v>
      </c>
      <c r="B263" s="1">
        <v>72</v>
      </c>
      <c r="C263" s="1">
        <v>72202</v>
      </c>
      <c r="D263" s="1" t="s">
        <v>19</v>
      </c>
      <c r="E263" s="1" t="s">
        <v>18</v>
      </c>
      <c r="F263" s="1" t="s">
        <v>15</v>
      </c>
      <c r="G263" s="1" t="s">
        <v>16</v>
      </c>
      <c r="H263" s="1">
        <v>18</v>
      </c>
      <c r="I263" s="1">
        <v>3</v>
      </c>
      <c r="J263" s="1">
        <v>0</v>
      </c>
    </row>
    <row r="264" spans="1:10" x14ac:dyDescent="0.25">
      <c r="A264" s="6">
        <v>10148</v>
      </c>
      <c r="B264" s="6">
        <v>46</v>
      </c>
      <c r="C264" s="6">
        <v>63515</v>
      </c>
      <c r="D264" s="6" t="s">
        <v>19</v>
      </c>
      <c r="E264" s="6" t="s">
        <v>11</v>
      </c>
      <c r="F264" s="6" t="s">
        <v>15</v>
      </c>
      <c r="G264" s="6" t="s">
        <v>16</v>
      </c>
      <c r="H264" s="6">
        <v>20</v>
      </c>
      <c r="I264" s="6">
        <v>4</v>
      </c>
      <c r="J264" s="6">
        <v>0</v>
      </c>
    </row>
    <row r="265" spans="1:10" x14ac:dyDescent="0.25">
      <c r="A265" s="1">
        <v>10149</v>
      </c>
      <c r="B265" s="1">
        <v>52</v>
      </c>
      <c r="C265" s="1">
        <v>120000</v>
      </c>
      <c r="D265" s="1" t="s">
        <v>19</v>
      </c>
      <c r="E265" s="1" t="s">
        <v>50</v>
      </c>
      <c r="F265" s="1" t="s">
        <v>15</v>
      </c>
      <c r="G265" s="1" t="s">
        <v>13</v>
      </c>
      <c r="H265" s="1">
        <v>11</v>
      </c>
      <c r="I265" s="1">
        <v>3</v>
      </c>
      <c r="J265" s="1">
        <v>7</v>
      </c>
    </row>
    <row r="266" spans="1:10" x14ac:dyDescent="0.25">
      <c r="A266" s="6">
        <v>10152</v>
      </c>
      <c r="B266" s="6">
        <v>40</v>
      </c>
      <c r="C266" s="6">
        <v>61729</v>
      </c>
      <c r="D266" s="6" t="s">
        <v>10</v>
      </c>
      <c r="E266" s="6" t="s">
        <v>11</v>
      </c>
      <c r="F266" s="6" t="s">
        <v>15</v>
      </c>
      <c r="G266" s="6" t="s">
        <v>13</v>
      </c>
      <c r="H266" s="6">
        <v>22</v>
      </c>
      <c r="I266" s="6">
        <v>5</v>
      </c>
      <c r="J266" s="6">
        <v>0</v>
      </c>
    </row>
    <row r="267" spans="1:10" x14ac:dyDescent="0.25">
      <c r="A267" s="1">
        <v>10153</v>
      </c>
      <c r="B267" s="1">
        <v>38</v>
      </c>
      <c r="C267" s="1">
        <v>55000</v>
      </c>
      <c r="D267" s="1" t="s">
        <v>19</v>
      </c>
      <c r="E267" s="1" t="s">
        <v>44</v>
      </c>
      <c r="F267" s="1" t="s">
        <v>15</v>
      </c>
      <c r="G267" s="1" t="s">
        <v>13</v>
      </c>
      <c r="H267" s="1">
        <v>12</v>
      </c>
      <c r="I267" s="1">
        <v>4</v>
      </c>
      <c r="J267" s="1">
        <v>4</v>
      </c>
    </row>
    <row r="268" spans="1:10" x14ac:dyDescent="0.25">
      <c r="A268" s="6">
        <v>10160</v>
      </c>
      <c r="B268" s="6">
        <v>48</v>
      </c>
      <c r="C268" s="6">
        <v>68182</v>
      </c>
      <c r="D268" s="6" t="s">
        <v>19</v>
      </c>
      <c r="E268" s="6" t="s">
        <v>18</v>
      </c>
      <c r="F268" s="6" t="s">
        <v>15</v>
      </c>
      <c r="G268" s="6" t="s">
        <v>13</v>
      </c>
      <c r="H268" s="6">
        <v>18</v>
      </c>
      <c r="I268" s="6">
        <v>3</v>
      </c>
      <c r="J268" s="6">
        <v>0</v>
      </c>
    </row>
    <row r="269" spans="1:10" x14ac:dyDescent="0.25">
      <c r="A269" s="1">
        <v>10163</v>
      </c>
      <c r="B269" s="1">
        <v>42</v>
      </c>
      <c r="C269" s="1">
        <v>55965</v>
      </c>
      <c r="D269" s="1" t="s">
        <v>19</v>
      </c>
      <c r="E269" s="1" t="s">
        <v>18</v>
      </c>
      <c r="F269" s="1" t="s">
        <v>15</v>
      </c>
      <c r="G269" s="1" t="s">
        <v>238</v>
      </c>
      <c r="H269" s="1">
        <v>13</v>
      </c>
      <c r="I269" s="1">
        <v>3</v>
      </c>
      <c r="J269" s="1">
        <v>0</v>
      </c>
    </row>
    <row r="270" spans="1:10" x14ac:dyDescent="0.25">
      <c r="A270" s="6">
        <v>10166</v>
      </c>
      <c r="B270" s="6">
        <v>52</v>
      </c>
      <c r="C270" s="6">
        <v>54005</v>
      </c>
      <c r="D270" s="6" t="s">
        <v>19</v>
      </c>
      <c r="E270" s="6" t="s">
        <v>11</v>
      </c>
      <c r="F270" s="6" t="s">
        <v>15</v>
      </c>
      <c r="G270" s="6" t="s">
        <v>29</v>
      </c>
      <c r="H270" s="6">
        <v>12</v>
      </c>
      <c r="I270" s="6">
        <v>5</v>
      </c>
      <c r="J270" s="6">
        <v>0</v>
      </c>
    </row>
    <row r="271" spans="1:10" x14ac:dyDescent="0.25">
      <c r="A271" s="1">
        <v>10170</v>
      </c>
      <c r="B271" s="1">
        <v>55</v>
      </c>
      <c r="C271" s="1">
        <v>45433</v>
      </c>
      <c r="D271" s="1" t="s">
        <v>19</v>
      </c>
      <c r="E271" s="1" t="s">
        <v>11</v>
      </c>
      <c r="F271" s="1" t="s">
        <v>15</v>
      </c>
      <c r="G271" s="1" t="s">
        <v>13</v>
      </c>
      <c r="H271" s="1">
        <v>12</v>
      </c>
      <c r="I271" s="1">
        <v>4</v>
      </c>
      <c r="J271" s="1">
        <v>0</v>
      </c>
    </row>
    <row r="272" spans="1:10" x14ac:dyDescent="0.25">
      <c r="A272" s="6">
        <v>10171</v>
      </c>
      <c r="B272" s="6">
        <v>39</v>
      </c>
      <c r="C272" s="6">
        <v>45998</v>
      </c>
      <c r="D272" s="6" t="s">
        <v>19</v>
      </c>
      <c r="E272" s="6" t="s">
        <v>11</v>
      </c>
      <c r="F272" s="6" t="s">
        <v>15</v>
      </c>
      <c r="G272" s="6" t="s">
        <v>33</v>
      </c>
      <c r="H272" s="6">
        <v>11</v>
      </c>
      <c r="I272" s="6">
        <v>4</v>
      </c>
      <c r="J272" s="6">
        <v>0</v>
      </c>
    </row>
    <row r="273" spans="1:10" x14ac:dyDescent="0.25">
      <c r="A273" s="1">
        <v>10175</v>
      </c>
      <c r="B273" s="1">
        <v>54</v>
      </c>
      <c r="C273" s="1">
        <v>74312</v>
      </c>
      <c r="D273" s="1" t="s">
        <v>10</v>
      </c>
      <c r="E273" s="1" t="s">
        <v>30</v>
      </c>
      <c r="F273" s="1" t="s">
        <v>15</v>
      </c>
      <c r="G273" s="1" t="s">
        <v>13</v>
      </c>
      <c r="H273" s="1">
        <v>11</v>
      </c>
      <c r="I273" s="1">
        <v>3</v>
      </c>
      <c r="J273" s="1">
        <v>0</v>
      </c>
    </row>
    <row r="274" spans="1:10" x14ac:dyDescent="0.25">
      <c r="A274" s="6">
        <v>10177</v>
      </c>
      <c r="B274" s="6">
        <v>35</v>
      </c>
      <c r="C274" s="6">
        <v>53492</v>
      </c>
      <c r="D274" s="6" t="s">
        <v>19</v>
      </c>
      <c r="E274" s="6" t="s">
        <v>11</v>
      </c>
      <c r="F274" s="6" t="s">
        <v>15</v>
      </c>
      <c r="G274" s="6" t="s">
        <v>13</v>
      </c>
      <c r="H274" s="6">
        <v>14</v>
      </c>
      <c r="I274" s="6">
        <v>4</v>
      </c>
      <c r="J274" s="6">
        <v>0</v>
      </c>
    </row>
    <row r="275" spans="1:10" x14ac:dyDescent="0.25">
      <c r="A275" s="1">
        <v>10185</v>
      </c>
      <c r="B275" s="1">
        <v>42</v>
      </c>
      <c r="C275" s="1">
        <v>46664</v>
      </c>
      <c r="D275" s="1" t="s">
        <v>10</v>
      </c>
      <c r="E275" s="1" t="s">
        <v>11</v>
      </c>
      <c r="F275" s="1" t="s">
        <v>15</v>
      </c>
      <c r="G275" s="1" t="s">
        <v>13</v>
      </c>
      <c r="H275" s="1">
        <v>11</v>
      </c>
      <c r="I275" s="1">
        <v>3</v>
      </c>
      <c r="J275" s="1">
        <v>0</v>
      </c>
    </row>
    <row r="276" spans="1:10" x14ac:dyDescent="0.25">
      <c r="A276" s="6">
        <v>10186</v>
      </c>
      <c r="B276" s="6">
        <v>44</v>
      </c>
      <c r="C276" s="6">
        <v>52624</v>
      </c>
      <c r="D276" s="6" t="s">
        <v>19</v>
      </c>
      <c r="E276" s="6" t="s">
        <v>11</v>
      </c>
      <c r="F276" s="6" t="s">
        <v>15</v>
      </c>
      <c r="G276" s="6" t="s">
        <v>21</v>
      </c>
      <c r="H276" s="7">
        <v>15.260586319218241</v>
      </c>
      <c r="I276" s="6">
        <v>4</v>
      </c>
      <c r="J276" s="6">
        <v>0</v>
      </c>
    </row>
    <row r="277" spans="1:10" x14ac:dyDescent="0.25">
      <c r="A277" s="1">
        <v>10187</v>
      </c>
      <c r="B277" s="1">
        <v>40</v>
      </c>
      <c r="C277" s="1">
        <v>46799</v>
      </c>
      <c r="D277" s="1" t="s">
        <v>19</v>
      </c>
      <c r="E277" s="1" t="s">
        <v>11</v>
      </c>
      <c r="F277" s="1" t="s">
        <v>15</v>
      </c>
      <c r="G277" s="1" t="s">
        <v>16</v>
      </c>
      <c r="H277" s="1">
        <v>17</v>
      </c>
      <c r="I277" s="1">
        <v>4</v>
      </c>
      <c r="J277" s="1">
        <v>0</v>
      </c>
    </row>
    <row r="278" spans="1:10" x14ac:dyDescent="0.25">
      <c r="A278" s="6">
        <v>10188</v>
      </c>
      <c r="B278" s="6">
        <v>61</v>
      </c>
      <c r="C278" s="6">
        <v>74326</v>
      </c>
      <c r="D278" s="6" t="s">
        <v>19</v>
      </c>
      <c r="E278" s="6" t="s">
        <v>32</v>
      </c>
      <c r="F278" s="6" t="s">
        <v>15</v>
      </c>
      <c r="G278" s="6" t="s">
        <v>13</v>
      </c>
      <c r="H278" s="6">
        <v>15</v>
      </c>
      <c r="I278" s="6">
        <v>5</v>
      </c>
      <c r="J278" s="6">
        <v>0</v>
      </c>
    </row>
    <row r="279" spans="1:10" x14ac:dyDescent="0.25">
      <c r="A279" s="1">
        <v>10189</v>
      </c>
      <c r="B279" s="1">
        <v>70</v>
      </c>
      <c r="C279" s="1">
        <v>57748</v>
      </c>
      <c r="D279" s="1" t="s">
        <v>19</v>
      </c>
      <c r="E279" s="1" t="s">
        <v>11</v>
      </c>
      <c r="F279" s="1" t="s">
        <v>15</v>
      </c>
      <c r="G279" s="1" t="s">
        <v>13</v>
      </c>
      <c r="H279" s="1">
        <v>13</v>
      </c>
      <c r="I279" s="1">
        <v>3</v>
      </c>
      <c r="J279" s="1">
        <v>0</v>
      </c>
    </row>
    <row r="280" spans="1:10" x14ac:dyDescent="0.25">
      <c r="A280" s="6">
        <v>10191</v>
      </c>
      <c r="B280" s="6">
        <v>53</v>
      </c>
      <c r="C280" s="6">
        <v>52788</v>
      </c>
      <c r="D280" s="6" t="s">
        <v>10</v>
      </c>
      <c r="E280" s="6" t="s">
        <v>11</v>
      </c>
      <c r="F280" s="6" t="s">
        <v>15</v>
      </c>
      <c r="G280" s="6" t="s">
        <v>33</v>
      </c>
      <c r="H280" s="6">
        <v>18</v>
      </c>
      <c r="I280" s="6">
        <v>4</v>
      </c>
      <c r="J280" s="6">
        <v>0</v>
      </c>
    </row>
    <row r="281" spans="1:10" x14ac:dyDescent="0.25">
      <c r="A281" s="1">
        <v>10195</v>
      </c>
      <c r="B281" s="1">
        <v>41</v>
      </c>
      <c r="C281" s="1">
        <v>63478</v>
      </c>
      <c r="D281" s="1" t="s">
        <v>19</v>
      </c>
      <c r="E281" s="1" t="s">
        <v>18</v>
      </c>
      <c r="F281" s="1" t="s">
        <v>15</v>
      </c>
      <c r="G281" s="1" t="s">
        <v>13</v>
      </c>
      <c r="H281" s="1">
        <v>13</v>
      </c>
      <c r="I281" s="1">
        <v>5</v>
      </c>
      <c r="J281" s="1">
        <v>0</v>
      </c>
    </row>
    <row r="282" spans="1:10" x14ac:dyDescent="0.25">
      <c r="A282" s="6">
        <v>10196</v>
      </c>
      <c r="B282" s="6">
        <v>37</v>
      </c>
      <c r="C282" s="6">
        <v>64955</v>
      </c>
      <c r="D282" s="6" t="s">
        <v>19</v>
      </c>
      <c r="E282" s="6" t="s">
        <v>18</v>
      </c>
      <c r="F282" s="6" t="s">
        <v>15</v>
      </c>
      <c r="G282" s="6" t="s">
        <v>13</v>
      </c>
      <c r="H282" s="6">
        <v>14</v>
      </c>
      <c r="I282" s="6">
        <v>3</v>
      </c>
      <c r="J282" s="6">
        <v>0</v>
      </c>
    </row>
    <row r="283" spans="1:10" x14ac:dyDescent="0.25">
      <c r="A283" s="1">
        <v>10204</v>
      </c>
      <c r="B283" s="1">
        <v>42</v>
      </c>
      <c r="C283" s="1">
        <v>58062</v>
      </c>
      <c r="D283" s="1" t="s">
        <v>19</v>
      </c>
      <c r="E283" s="1" t="s">
        <v>11</v>
      </c>
      <c r="F283" s="1" t="s">
        <v>15</v>
      </c>
      <c r="G283" s="1" t="s">
        <v>13</v>
      </c>
      <c r="H283" s="1">
        <v>12</v>
      </c>
      <c r="I283" s="1">
        <v>5</v>
      </c>
      <c r="J283" s="1">
        <v>0</v>
      </c>
    </row>
    <row r="284" spans="1:10" x14ac:dyDescent="0.25">
      <c r="A284" s="6">
        <v>10215</v>
      </c>
      <c r="B284" s="6">
        <v>36</v>
      </c>
      <c r="C284" s="6">
        <v>50470</v>
      </c>
      <c r="D284" s="6" t="s">
        <v>10</v>
      </c>
      <c r="E284" s="6" t="s">
        <v>11</v>
      </c>
      <c r="F284" s="6" t="s">
        <v>15</v>
      </c>
      <c r="G284" s="6" t="s">
        <v>33</v>
      </c>
      <c r="H284" s="6">
        <v>14</v>
      </c>
      <c r="I284" s="6">
        <v>3</v>
      </c>
      <c r="J284" s="6">
        <v>0</v>
      </c>
    </row>
    <row r="285" spans="1:10" x14ac:dyDescent="0.25">
      <c r="A285" s="1">
        <v>10221</v>
      </c>
      <c r="B285" s="1">
        <v>50</v>
      </c>
      <c r="C285" s="1">
        <v>60754</v>
      </c>
      <c r="D285" s="1" t="s">
        <v>19</v>
      </c>
      <c r="E285" s="1" t="s">
        <v>11</v>
      </c>
      <c r="F285" s="1" t="s">
        <v>15</v>
      </c>
      <c r="G285" s="1" t="s">
        <v>13</v>
      </c>
      <c r="H285" s="1">
        <v>16</v>
      </c>
      <c r="I285" s="1">
        <v>5</v>
      </c>
      <c r="J285" s="1">
        <v>0</v>
      </c>
    </row>
    <row r="286" spans="1:10" x14ac:dyDescent="0.25">
      <c r="A286" s="6">
        <v>10222</v>
      </c>
      <c r="B286" s="6">
        <v>61</v>
      </c>
      <c r="C286" s="6">
        <v>148999</v>
      </c>
      <c r="D286" s="6" t="s">
        <v>10</v>
      </c>
      <c r="E286" s="6" t="s">
        <v>52</v>
      </c>
      <c r="F286" s="6" t="s">
        <v>15</v>
      </c>
      <c r="G286" s="6" t="s">
        <v>16</v>
      </c>
      <c r="H286" s="6">
        <v>18</v>
      </c>
      <c r="I286" s="6">
        <v>1</v>
      </c>
      <c r="J286" s="6">
        <v>6</v>
      </c>
    </row>
    <row r="287" spans="1:10" x14ac:dyDescent="0.25">
      <c r="A287" s="1">
        <v>10224</v>
      </c>
      <c r="B287" s="1">
        <v>53</v>
      </c>
      <c r="C287" s="1">
        <v>55578</v>
      </c>
      <c r="D287" s="1" t="s">
        <v>10</v>
      </c>
      <c r="E287" s="1" t="s">
        <v>18</v>
      </c>
      <c r="F287" s="1" t="s">
        <v>15</v>
      </c>
      <c r="G287" s="1" t="s">
        <v>21</v>
      </c>
      <c r="H287" s="1">
        <v>17</v>
      </c>
      <c r="I287" s="1">
        <v>5</v>
      </c>
      <c r="J287" s="1">
        <v>0</v>
      </c>
    </row>
    <row r="288" spans="1:10" x14ac:dyDescent="0.25">
      <c r="A288" s="6">
        <v>10229</v>
      </c>
      <c r="B288" s="6">
        <v>37</v>
      </c>
      <c r="C288" s="6">
        <v>88527</v>
      </c>
      <c r="D288" s="6" t="s">
        <v>10</v>
      </c>
      <c r="E288" s="6" t="s">
        <v>24</v>
      </c>
      <c r="F288" s="6" t="s">
        <v>15</v>
      </c>
      <c r="G288" s="6" t="s">
        <v>13</v>
      </c>
      <c r="H288" s="6">
        <v>14</v>
      </c>
      <c r="I288" s="6">
        <v>3</v>
      </c>
      <c r="J288" s="6">
        <v>5</v>
      </c>
    </row>
    <row r="289" spans="1:10" x14ac:dyDescent="0.25">
      <c r="A289" s="1">
        <v>10230</v>
      </c>
      <c r="B289" s="1">
        <v>44</v>
      </c>
      <c r="C289" s="1">
        <v>64971</v>
      </c>
      <c r="D289" s="1" t="s">
        <v>19</v>
      </c>
      <c r="E289" s="1" t="s">
        <v>18</v>
      </c>
      <c r="F289" s="1" t="s">
        <v>15</v>
      </c>
      <c r="G289" s="1" t="s">
        <v>16</v>
      </c>
      <c r="H289" s="1">
        <v>15</v>
      </c>
      <c r="I289" s="1">
        <v>4</v>
      </c>
      <c r="J289" s="1">
        <v>0</v>
      </c>
    </row>
    <row r="290" spans="1:10" x14ac:dyDescent="0.25">
      <c r="A290" s="6">
        <v>10240</v>
      </c>
      <c r="B290" s="6">
        <v>42</v>
      </c>
      <c r="C290" s="6">
        <v>64786</v>
      </c>
      <c r="D290" s="6" t="s">
        <v>19</v>
      </c>
      <c r="E290" s="6" t="s">
        <v>11</v>
      </c>
      <c r="F290" s="6" t="s">
        <v>15</v>
      </c>
      <c r="G290" s="6" t="s">
        <v>33</v>
      </c>
      <c r="H290" s="6">
        <v>13</v>
      </c>
      <c r="I290" s="6">
        <v>4</v>
      </c>
      <c r="J290" s="6">
        <v>0</v>
      </c>
    </row>
    <row r="291" spans="1:10" x14ac:dyDescent="0.25">
      <c r="A291" s="1">
        <v>10242</v>
      </c>
      <c r="B291" s="1">
        <v>51</v>
      </c>
      <c r="C291" s="1">
        <v>47211</v>
      </c>
      <c r="D291" s="1" t="s">
        <v>10</v>
      </c>
      <c r="E291" s="1" t="s">
        <v>11</v>
      </c>
      <c r="F291" s="1" t="s">
        <v>15</v>
      </c>
      <c r="G291" s="1" t="s">
        <v>13</v>
      </c>
      <c r="H291" s="1">
        <v>22</v>
      </c>
      <c r="I291" s="1">
        <v>3</v>
      </c>
      <c r="J291" s="1">
        <v>0</v>
      </c>
    </row>
    <row r="292" spans="1:10" x14ac:dyDescent="0.25">
      <c r="A292" s="6">
        <v>10244</v>
      </c>
      <c r="B292" s="6">
        <v>35</v>
      </c>
      <c r="C292" s="6">
        <v>68999</v>
      </c>
      <c r="D292" s="6" t="s">
        <v>19</v>
      </c>
      <c r="E292" s="6" t="s">
        <v>38</v>
      </c>
      <c r="F292" s="6" t="s">
        <v>15</v>
      </c>
      <c r="G292" s="6" t="s">
        <v>13</v>
      </c>
      <c r="H292" s="6">
        <v>16</v>
      </c>
      <c r="I292" s="6">
        <v>5</v>
      </c>
      <c r="J292" s="6">
        <v>0</v>
      </c>
    </row>
    <row r="293" spans="1:10" x14ac:dyDescent="0.25">
      <c r="A293" s="1">
        <v>10249</v>
      </c>
      <c r="B293" s="1">
        <v>41</v>
      </c>
      <c r="C293" s="1">
        <v>61962</v>
      </c>
      <c r="D293" s="1" t="s">
        <v>10</v>
      </c>
      <c r="E293" s="1" t="s">
        <v>18</v>
      </c>
      <c r="F293" s="1" t="s">
        <v>15</v>
      </c>
      <c r="G293" s="1" t="s">
        <v>33</v>
      </c>
      <c r="H293" s="1">
        <v>18</v>
      </c>
      <c r="I293" s="1">
        <v>3</v>
      </c>
      <c r="J293" s="1">
        <v>0</v>
      </c>
    </row>
    <row r="294" spans="1:10" x14ac:dyDescent="0.25">
      <c r="A294" s="6">
        <v>10252</v>
      </c>
      <c r="B294" s="6">
        <v>50</v>
      </c>
      <c r="C294" s="6">
        <v>54000</v>
      </c>
      <c r="D294" s="6" t="s">
        <v>19</v>
      </c>
      <c r="E294" s="6" t="s">
        <v>11</v>
      </c>
      <c r="F294" s="6" t="s">
        <v>15</v>
      </c>
      <c r="G294" s="6" t="s">
        <v>16</v>
      </c>
      <c r="H294" s="6">
        <v>21</v>
      </c>
      <c r="I294" s="6">
        <v>4</v>
      </c>
      <c r="J294" s="6">
        <v>0</v>
      </c>
    </row>
    <row r="295" spans="1:10" x14ac:dyDescent="0.25">
      <c r="A295" s="1">
        <v>10259</v>
      </c>
      <c r="B295" s="1">
        <v>41</v>
      </c>
      <c r="C295" s="1">
        <v>93093</v>
      </c>
      <c r="D295" s="1" t="s">
        <v>10</v>
      </c>
      <c r="E295" s="1" t="s">
        <v>24</v>
      </c>
      <c r="F295" s="1" t="s">
        <v>15</v>
      </c>
      <c r="G295" s="1" t="s">
        <v>13</v>
      </c>
      <c r="H295" s="1">
        <v>13</v>
      </c>
      <c r="I295" s="1">
        <v>4</v>
      </c>
      <c r="J295" s="1">
        <v>5</v>
      </c>
    </row>
    <row r="296" spans="1:10" x14ac:dyDescent="0.25">
      <c r="A296" s="6">
        <v>10260</v>
      </c>
      <c r="B296" s="6">
        <v>50</v>
      </c>
      <c r="C296" s="6">
        <v>46428</v>
      </c>
      <c r="D296" s="6" t="s">
        <v>10</v>
      </c>
      <c r="E296" s="6" t="s">
        <v>11</v>
      </c>
      <c r="F296" s="6" t="s">
        <v>15</v>
      </c>
      <c r="G296" s="6" t="s">
        <v>13</v>
      </c>
      <c r="H296" s="6">
        <v>14</v>
      </c>
      <c r="I296" s="6">
        <v>5</v>
      </c>
      <c r="J296" s="6">
        <v>0</v>
      </c>
    </row>
    <row r="297" spans="1:10" x14ac:dyDescent="0.25">
      <c r="A297" s="1">
        <v>10262</v>
      </c>
      <c r="B297" s="1">
        <v>54</v>
      </c>
      <c r="C297" s="1">
        <v>46430</v>
      </c>
      <c r="D297" s="1" t="s">
        <v>19</v>
      </c>
      <c r="E297" s="1" t="s">
        <v>11</v>
      </c>
      <c r="F297" s="1" t="s">
        <v>15</v>
      </c>
      <c r="G297" s="1" t="s">
        <v>13</v>
      </c>
      <c r="H297" s="1">
        <v>13</v>
      </c>
      <c r="I297" s="1">
        <v>5</v>
      </c>
      <c r="J297" s="1">
        <v>0</v>
      </c>
    </row>
    <row r="298" spans="1:10" x14ac:dyDescent="0.25">
      <c r="A298" s="6">
        <v>10264</v>
      </c>
      <c r="B298" s="6">
        <v>56</v>
      </c>
      <c r="C298" s="6">
        <v>59728</v>
      </c>
      <c r="D298" s="6" t="s">
        <v>19</v>
      </c>
      <c r="E298" s="6" t="s">
        <v>11</v>
      </c>
      <c r="F298" s="6" t="s">
        <v>15</v>
      </c>
      <c r="G298" s="6" t="s">
        <v>13</v>
      </c>
      <c r="H298" s="6">
        <v>11</v>
      </c>
      <c r="I298" s="6">
        <v>4</v>
      </c>
      <c r="J298" s="6">
        <v>0</v>
      </c>
    </row>
    <row r="299" spans="1:10" x14ac:dyDescent="0.25">
      <c r="A299" s="1">
        <v>10267</v>
      </c>
      <c r="B299" s="1">
        <v>58</v>
      </c>
      <c r="C299" s="1">
        <v>57815</v>
      </c>
      <c r="D299" s="1" t="s">
        <v>19</v>
      </c>
      <c r="E299" s="1" t="s">
        <v>18</v>
      </c>
      <c r="F299" s="1" t="s">
        <v>15</v>
      </c>
      <c r="G299" s="1" t="s">
        <v>13</v>
      </c>
      <c r="H299" s="1">
        <v>12</v>
      </c>
      <c r="I299" s="1">
        <v>5</v>
      </c>
      <c r="J299" s="1">
        <v>0</v>
      </c>
    </row>
    <row r="300" spans="1:10" x14ac:dyDescent="0.25">
      <c r="A300" s="6">
        <v>10268</v>
      </c>
      <c r="B300" s="6">
        <v>50</v>
      </c>
      <c r="C300" s="6">
        <v>67176</v>
      </c>
      <c r="D300" s="6" t="s">
        <v>10</v>
      </c>
      <c r="E300" s="6" t="s">
        <v>18</v>
      </c>
      <c r="F300" s="6" t="s">
        <v>15</v>
      </c>
      <c r="G300" s="6" t="s">
        <v>16</v>
      </c>
      <c r="H300" s="6">
        <v>14</v>
      </c>
      <c r="I300" s="6">
        <v>4</v>
      </c>
      <c r="J300" s="6">
        <v>0</v>
      </c>
    </row>
    <row r="301" spans="1:10" x14ac:dyDescent="0.25">
      <c r="A301" s="1">
        <v>10269</v>
      </c>
      <c r="B301" s="1">
        <v>46</v>
      </c>
      <c r="C301" s="1">
        <v>59369</v>
      </c>
      <c r="D301" s="1" t="s">
        <v>10</v>
      </c>
      <c r="E301" s="1" t="s">
        <v>18</v>
      </c>
      <c r="F301" s="1" t="s">
        <v>15</v>
      </c>
      <c r="G301" s="1" t="s">
        <v>16</v>
      </c>
      <c r="H301" s="1">
        <v>19</v>
      </c>
      <c r="I301" s="1">
        <v>4</v>
      </c>
      <c r="J301" s="1">
        <v>0</v>
      </c>
    </row>
    <row r="302" spans="1:10" x14ac:dyDescent="0.25">
      <c r="A302" s="6">
        <v>10270</v>
      </c>
      <c r="B302" s="6">
        <v>40</v>
      </c>
      <c r="C302" s="6">
        <v>74813</v>
      </c>
      <c r="D302" s="6" t="s">
        <v>19</v>
      </c>
      <c r="E302" s="6" t="s">
        <v>18</v>
      </c>
      <c r="F302" s="6" t="s">
        <v>15</v>
      </c>
      <c r="G302" s="6" t="s">
        <v>13</v>
      </c>
      <c r="H302" s="6">
        <v>24</v>
      </c>
      <c r="I302" s="6">
        <v>3</v>
      </c>
      <c r="J302" s="6">
        <v>0</v>
      </c>
    </row>
    <row r="303" spans="1:10" x14ac:dyDescent="0.25">
      <c r="A303" s="1">
        <v>10274</v>
      </c>
      <c r="B303" s="1">
        <v>69</v>
      </c>
      <c r="C303" s="1">
        <v>80512</v>
      </c>
      <c r="D303" s="1" t="s">
        <v>19</v>
      </c>
      <c r="E303" s="1" t="s">
        <v>30</v>
      </c>
      <c r="F303" s="1" t="s">
        <v>15</v>
      </c>
      <c r="G303" s="1" t="s">
        <v>13</v>
      </c>
      <c r="H303" s="1">
        <v>18</v>
      </c>
      <c r="I303" s="1">
        <v>3</v>
      </c>
      <c r="J303" s="1">
        <v>0</v>
      </c>
    </row>
    <row r="304" spans="1:10" x14ac:dyDescent="0.25">
      <c r="A304" s="6">
        <v>10275</v>
      </c>
      <c r="B304" s="6">
        <v>44</v>
      </c>
      <c r="C304" s="6">
        <v>64066</v>
      </c>
      <c r="D304" s="6" t="s">
        <v>19</v>
      </c>
      <c r="E304" s="6" t="s">
        <v>18</v>
      </c>
      <c r="F304" s="6" t="s">
        <v>15</v>
      </c>
      <c r="G304" s="6" t="s">
        <v>13</v>
      </c>
      <c r="H304" s="6">
        <v>22</v>
      </c>
      <c r="I304" s="6">
        <v>5</v>
      </c>
      <c r="J304" s="6">
        <v>0</v>
      </c>
    </row>
    <row r="305" spans="1:10" x14ac:dyDescent="0.25">
      <c r="A305" s="1">
        <v>10283</v>
      </c>
      <c r="B305" s="1">
        <v>51</v>
      </c>
      <c r="C305" s="1">
        <v>54933</v>
      </c>
      <c r="D305" s="1" t="s">
        <v>10</v>
      </c>
      <c r="E305" s="1" t="s">
        <v>11</v>
      </c>
      <c r="F305" s="1" t="s">
        <v>15</v>
      </c>
      <c r="G305" s="1" t="s">
        <v>13</v>
      </c>
      <c r="H305" s="1">
        <v>22</v>
      </c>
      <c r="I305" s="1">
        <v>4</v>
      </c>
      <c r="J305" s="1">
        <v>0</v>
      </c>
    </row>
    <row r="306" spans="1:10" x14ac:dyDescent="0.25">
      <c r="A306" s="6">
        <v>10286</v>
      </c>
      <c r="B306" s="6">
        <v>37</v>
      </c>
      <c r="C306" s="6">
        <v>53564</v>
      </c>
      <c r="D306" s="6" t="s">
        <v>10</v>
      </c>
      <c r="E306" s="6" t="s">
        <v>11</v>
      </c>
      <c r="F306" s="6" t="s">
        <v>15</v>
      </c>
      <c r="G306" s="6" t="s">
        <v>13</v>
      </c>
      <c r="H306" s="6">
        <v>15</v>
      </c>
      <c r="I306" s="6">
        <v>5</v>
      </c>
      <c r="J306" s="6">
        <v>0</v>
      </c>
    </row>
    <row r="307" spans="1:10" x14ac:dyDescent="0.25">
      <c r="A307" s="1">
        <v>10289</v>
      </c>
      <c r="B307" s="1">
        <v>48</v>
      </c>
      <c r="C307" s="1">
        <v>83082</v>
      </c>
      <c r="D307" s="1" t="s">
        <v>10</v>
      </c>
      <c r="E307" s="1" t="s">
        <v>30</v>
      </c>
      <c r="F307" s="1" t="s">
        <v>15</v>
      </c>
      <c r="G307" s="1" t="s">
        <v>13</v>
      </c>
      <c r="H307" s="1">
        <v>20</v>
      </c>
      <c r="I307" s="1">
        <v>2</v>
      </c>
      <c r="J307" s="1">
        <v>0</v>
      </c>
    </row>
    <row r="308" spans="1:10" x14ac:dyDescent="0.25">
      <c r="A308" s="6">
        <v>10293</v>
      </c>
      <c r="B308" s="6">
        <v>45</v>
      </c>
      <c r="C308" s="6">
        <v>50274</v>
      </c>
      <c r="D308" s="6" t="s">
        <v>19</v>
      </c>
      <c r="E308" s="6" t="s">
        <v>11</v>
      </c>
      <c r="F308" s="6" t="s">
        <v>15</v>
      </c>
      <c r="G308" s="6" t="s">
        <v>13</v>
      </c>
      <c r="H308" s="6">
        <v>15</v>
      </c>
      <c r="I308" s="6">
        <v>3</v>
      </c>
      <c r="J308" s="6">
        <v>0</v>
      </c>
    </row>
    <row r="309" spans="1:10" x14ac:dyDescent="0.25">
      <c r="A309" s="1">
        <v>10297</v>
      </c>
      <c r="B309" s="1">
        <v>36</v>
      </c>
      <c r="C309" s="1">
        <v>60270</v>
      </c>
      <c r="D309" s="1" t="s">
        <v>19</v>
      </c>
      <c r="E309" s="1" t="s">
        <v>18</v>
      </c>
      <c r="F309" s="1" t="s">
        <v>15</v>
      </c>
      <c r="G309" s="1" t="s">
        <v>13</v>
      </c>
      <c r="H309" s="1">
        <v>11</v>
      </c>
      <c r="I309" s="1">
        <v>5</v>
      </c>
      <c r="J309" s="1">
        <v>0</v>
      </c>
    </row>
    <row r="310" spans="1:10" x14ac:dyDescent="0.25">
      <c r="A310" s="6">
        <v>10298</v>
      </c>
      <c r="B310" s="6">
        <v>40</v>
      </c>
      <c r="C310" s="6">
        <v>55800</v>
      </c>
      <c r="D310" s="6" t="s">
        <v>10</v>
      </c>
      <c r="E310" s="6" t="s">
        <v>18</v>
      </c>
      <c r="F310" s="6" t="s">
        <v>15</v>
      </c>
      <c r="G310" s="6" t="s">
        <v>16</v>
      </c>
      <c r="H310" s="6">
        <v>14</v>
      </c>
      <c r="I310" s="6">
        <v>2</v>
      </c>
      <c r="J310" s="6">
        <v>0</v>
      </c>
    </row>
    <row r="311" spans="1:10" x14ac:dyDescent="0.25">
      <c r="A311" s="1">
        <v>10300</v>
      </c>
      <c r="B311" s="1">
        <v>60</v>
      </c>
      <c r="C311" s="1">
        <v>68898</v>
      </c>
      <c r="D311" s="1" t="s">
        <v>10</v>
      </c>
      <c r="E311" s="1" t="s">
        <v>18</v>
      </c>
      <c r="F311" s="1" t="s">
        <v>15</v>
      </c>
      <c r="G311" s="1" t="s">
        <v>16</v>
      </c>
      <c r="H311" s="1">
        <v>14</v>
      </c>
      <c r="I311" s="1">
        <v>3</v>
      </c>
      <c r="J311" s="1">
        <v>0</v>
      </c>
    </row>
    <row r="312" spans="1:10" x14ac:dyDescent="0.25">
      <c r="A312" s="6">
        <v>10301</v>
      </c>
      <c r="B312" s="6">
        <v>43</v>
      </c>
      <c r="C312" s="6">
        <v>48513</v>
      </c>
      <c r="D312" s="6" t="s">
        <v>19</v>
      </c>
      <c r="E312" s="6" t="s">
        <v>11</v>
      </c>
      <c r="F312" s="6" t="s">
        <v>15</v>
      </c>
      <c r="G312" s="6" t="s">
        <v>13</v>
      </c>
      <c r="H312" s="6">
        <v>13</v>
      </c>
      <c r="I312" s="6">
        <v>2</v>
      </c>
      <c r="J312" s="6">
        <v>0</v>
      </c>
    </row>
    <row r="313" spans="1:10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 Raw Dataset.xlsx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Tharzz !!</dc:creator>
  <cp:lastModifiedBy>Tharshini Palanisamy</cp:lastModifiedBy>
  <dcterms:created xsi:type="dcterms:W3CDTF">2025-09-20T14:08:36Z</dcterms:created>
  <dcterms:modified xsi:type="dcterms:W3CDTF">2025-09-24T15:41:55Z</dcterms:modified>
</cp:coreProperties>
</file>